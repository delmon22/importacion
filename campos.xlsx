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taredblau-my.sharepoint.com/personal/delmon_taredblau_com/Documents/T_TAREDBLAU/TB_98_COMPRAVENTA/TB_984_IMPORTACION/TB_984_99_HERRAMIENTAS/aux/"/>
    </mc:Choice>
  </mc:AlternateContent>
  <xr:revisionPtr revIDLastSave="0" documentId="8_{CD8F959D-5770-1344-A5FA-2A0229C5E36A}" xr6:coauthVersionLast="47" xr6:coauthVersionMax="47" xr10:uidLastSave="{00000000-0000-0000-0000-000000000000}"/>
  <bookViews>
    <workbookView xWindow="0" yWindow="760" windowWidth="30240" windowHeight="18880" xr2:uid="{CF569BD1-8DF0-41A6-8443-5311E7363B26}"/>
  </bookViews>
  <sheets>
    <sheet name="MODELO_CLIENTE" sheetId="3" r:id="rId1"/>
    <sheet name="ordenada vertical" sheetId="4" r:id="rId2"/>
    <sheet name="Hoja2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J6" i="4"/>
  <c r="K6" i="4"/>
  <c r="L6" i="4"/>
  <c r="M6" i="4"/>
  <c r="N6" i="4"/>
  <c r="O6" i="4"/>
  <c r="P6" i="4"/>
  <c r="Q6" i="4"/>
  <c r="R6" i="4"/>
  <c r="S6" i="4"/>
  <c r="T6" i="4"/>
  <c r="I7" i="4"/>
  <c r="J7" i="4"/>
  <c r="K7" i="4"/>
  <c r="L7" i="4"/>
  <c r="M7" i="4"/>
  <c r="N7" i="4"/>
  <c r="O7" i="4"/>
  <c r="P7" i="4"/>
  <c r="Q7" i="4"/>
  <c r="R7" i="4"/>
  <c r="S7" i="4"/>
  <c r="T7" i="4"/>
  <c r="I8" i="4"/>
  <c r="J8" i="4"/>
  <c r="K8" i="4"/>
  <c r="L8" i="4"/>
  <c r="M8" i="4"/>
  <c r="N8" i="4"/>
  <c r="O8" i="4"/>
  <c r="P8" i="4"/>
  <c r="Q8" i="4"/>
  <c r="R8" i="4"/>
  <c r="S8" i="4"/>
  <c r="T8" i="4"/>
  <c r="I9" i="4"/>
  <c r="J9" i="4"/>
  <c r="K9" i="4"/>
  <c r="L9" i="4"/>
  <c r="M9" i="4"/>
  <c r="N9" i="4"/>
  <c r="O9" i="4"/>
  <c r="P9" i="4"/>
  <c r="Q9" i="4"/>
  <c r="R9" i="4"/>
  <c r="S9" i="4"/>
  <c r="T9" i="4"/>
  <c r="I10" i="4"/>
  <c r="J10" i="4"/>
  <c r="K10" i="4"/>
  <c r="L10" i="4"/>
  <c r="M10" i="4"/>
  <c r="N10" i="4"/>
  <c r="O10" i="4"/>
  <c r="P10" i="4"/>
  <c r="Q10" i="4"/>
  <c r="R10" i="4"/>
  <c r="S10" i="4"/>
  <c r="T10" i="4"/>
  <c r="I11" i="4"/>
  <c r="J11" i="4"/>
  <c r="K11" i="4"/>
  <c r="L11" i="4"/>
  <c r="M11" i="4"/>
  <c r="N11" i="4"/>
  <c r="O11" i="4"/>
  <c r="P11" i="4"/>
  <c r="Q11" i="4"/>
  <c r="R11" i="4"/>
  <c r="S11" i="4"/>
  <c r="T11" i="4"/>
  <c r="I12" i="4"/>
  <c r="J12" i="4"/>
  <c r="K12" i="4"/>
  <c r="L12" i="4"/>
  <c r="M12" i="4"/>
  <c r="N12" i="4"/>
  <c r="O12" i="4"/>
  <c r="P12" i="4"/>
  <c r="Q12" i="4"/>
  <c r="R12" i="4"/>
  <c r="S12" i="4"/>
  <c r="T12" i="4"/>
  <c r="I13" i="4"/>
  <c r="J13" i="4"/>
  <c r="K13" i="4"/>
  <c r="L13" i="4"/>
  <c r="M13" i="4"/>
  <c r="N13" i="4"/>
  <c r="O13" i="4"/>
  <c r="P13" i="4"/>
  <c r="Q13" i="4"/>
  <c r="R13" i="4"/>
  <c r="S13" i="4"/>
  <c r="T13" i="4"/>
  <c r="I14" i="4"/>
  <c r="J14" i="4"/>
  <c r="K14" i="4"/>
  <c r="L14" i="4"/>
  <c r="M14" i="4"/>
  <c r="N14" i="4"/>
  <c r="O14" i="4"/>
  <c r="P14" i="4"/>
  <c r="Q14" i="4"/>
  <c r="R14" i="4"/>
  <c r="S14" i="4"/>
  <c r="T14" i="4"/>
  <c r="I15" i="4"/>
  <c r="J15" i="4"/>
  <c r="K15" i="4"/>
  <c r="L15" i="4"/>
  <c r="M15" i="4"/>
  <c r="N15" i="4"/>
  <c r="O15" i="4"/>
  <c r="P15" i="4"/>
  <c r="Q15" i="4"/>
  <c r="R15" i="4"/>
  <c r="S15" i="4"/>
  <c r="T15" i="4"/>
  <c r="I16" i="4"/>
  <c r="J16" i="4"/>
  <c r="K16" i="4"/>
  <c r="L16" i="4"/>
  <c r="M16" i="4"/>
  <c r="N16" i="4"/>
  <c r="O16" i="4"/>
  <c r="P16" i="4"/>
  <c r="Q16" i="4"/>
  <c r="R16" i="4"/>
  <c r="S16" i="4"/>
  <c r="T16" i="4"/>
  <c r="I17" i="4"/>
  <c r="J17" i="4"/>
  <c r="K17" i="4"/>
  <c r="L17" i="4"/>
  <c r="M17" i="4"/>
  <c r="N17" i="4"/>
  <c r="O17" i="4"/>
  <c r="P17" i="4"/>
  <c r="Q17" i="4"/>
  <c r="R17" i="4"/>
  <c r="S17" i="4"/>
  <c r="T17" i="4"/>
  <c r="I18" i="4"/>
  <c r="J18" i="4"/>
  <c r="K18" i="4"/>
  <c r="L18" i="4"/>
  <c r="M18" i="4"/>
  <c r="N18" i="4"/>
  <c r="O18" i="4"/>
  <c r="P18" i="4"/>
  <c r="Q18" i="4"/>
  <c r="R18" i="4"/>
  <c r="S18" i="4"/>
  <c r="T18" i="4"/>
  <c r="I19" i="4"/>
  <c r="J19" i="4"/>
  <c r="K19" i="4"/>
  <c r="L19" i="4"/>
  <c r="M19" i="4"/>
  <c r="N19" i="4"/>
  <c r="O19" i="4"/>
  <c r="P19" i="4"/>
  <c r="Q19" i="4"/>
  <c r="R19" i="4"/>
  <c r="S19" i="4"/>
  <c r="T19" i="4"/>
  <c r="I20" i="4"/>
  <c r="J20" i="4"/>
  <c r="K20" i="4"/>
  <c r="L20" i="4"/>
  <c r="M20" i="4"/>
  <c r="N20" i="4"/>
  <c r="O20" i="4"/>
  <c r="P20" i="4"/>
  <c r="Q20" i="4"/>
  <c r="R20" i="4"/>
  <c r="S20" i="4"/>
  <c r="T20" i="4"/>
  <c r="I21" i="4"/>
  <c r="J21" i="4"/>
  <c r="K21" i="4"/>
  <c r="L21" i="4"/>
  <c r="M21" i="4"/>
  <c r="N21" i="4"/>
  <c r="O21" i="4"/>
  <c r="P21" i="4"/>
  <c r="Q21" i="4"/>
  <c r="R21" i="4"/>
  <c r="S21" i="4"/>
  <c r="T21" i="4"/>
  <c r="I22" i="4"/>
  <c r="J22" i="4"/>
  <c r="K22" i="4"/>
  <c r="L22" i="4"/>
  <c r="M22" i="4"/>
  <c r="N22" i="4"/>
  <c r="O22" i="4"/>
  <c r="P22" i="4"/>
  <c r="Q22" i="4"/>
  <c r="R22" i="4"/>
  <c r="S22" i="4"/>
  <c r="T22" i="4"/>
  <c r="I23" i="4"/>
  <c r="J23" i="4"/>
  <c r="K23" i="4"/>
  <c r="L23" i="4"/>
  <c r="M23" i="4"/>
  <c r="N23" i="4"/>
  <c r="O23" i="4"/>
  <c r="P23" i="4"/>
  <c r="Q23" i="4"/>
  <c r="R23" i="4"/>
  <c r="S23" i="4"/>
  <c r="T23" i="4"/>
  <c r="I24" i="4"/>
  <c r="J24" i="4"/>
  <c r="K24" i="4"/>
  <c r="L24" i="4"/>
  <c r="M24" i="4"/>
  <c r="N24" i="4"/>
  <c r="O24" i="4"/>
  <c r="P24" i="4"/>
  <c r="Q24" i="4"/>
  <c r="R24" i="4"/>
  <c r="S24" i="4"/>
  <c r="T24" i="4"/>
  <c r="I25" i="4"/>
  <c r="J25" i="4"/>
  <c r="K25" i="4"/>
  <c r="L25" i="4"/>
  <c r="M25" i="4"/>
  <c r="N25" i="4"/>
  <c r="O25" i="4"/>
  <c r="P25" i="4"/>
  <c r="Q25" i="4"/>
  <c r="R25" i="4"/>
  <c r="S25" i="4"/>
  <c r="T25" i="4"/>
  <c r="I26" i="4"/>
  <c r="J26" i="4"/>
  <c r="K26" i="4"/>
  <c r="L26" i="4"/>
  <c r="M26" i="4"/>
  <c r="N26" i="4"/>
  <c r="O26" i="4"/>
  <c r="P26" i="4"/>
  <c r="Q26" i="4"/>
  <c r="R26" i="4"/>
  <c r="S26" i="4"/>
  <c r="T26" i="4"/>
  <c r="I27" i="4"/>
  <c r="J27" i="4"/>
  <c r="K27" i="4"/>
  <c r="L27" i="4"/>
  <c r="M27" i="4"/>
  <c r="N27" i="4"/>
  <c r="O27" i="4"/>
  <c r="P27" i="4"/>
  <c r="Q27" i="4"/>
  <c r="R27" i="4"/>
  <c r="S27" i="4"/>
  <c r="T27" i="4"/>
  <c r="I28" i="4"/>
  <c r="J28" i="4"/>
  <c r="K28" i="4"/>
  <c r="L28" i="4"/>
  <c r="M28" i="4"/>
  <c r="N28" i="4"/>
  <c r="O28" i="4"/>
  <c r="P28" i="4"/>
  <c r="Q28" i="4"/>
  <c r="R28" i="4"/>
  <c r="S28" i="4"/>
  <c r="T28" i="4"/>
  <c r="I29" i="4"/>
  <c r="J29" i="4"/>
  <c r="K29" i="4"/>
  <c r="L29" i="4"/>
  <c r="M29" i="4"/>
  <c r="N29" i="4"/>
  <c r="O29" i="4"/>
  <c r="P29" i="4"/>
  <c r="Q29" i="4"/>
  <c r="R29" i="4"/>
  <c r="S29" i="4"/>
  <c r="T29" i="4"/>
  <c r="I30" i="4"/>
  <c r="J30" i="4"/>
  <c r="K30" i="4"/>
  <c r="L30" i="4"/>
  <c r="M30" i="4"/>
  <c r="N30" i="4"/>
  <c r="O30" i="4"/>
  <c r="P30" i="4"/>
  <c r="Q30" i="4"/>
  <c r="R30" i="4"/>
  <c r="S30" i="4"/>
  <c r="T30" i="4"/>
  <c r="I31" i="4"/>
  <c r="J31" i="4"/>
  <c r="K31" i="4"/>
  <c r="L31" i="4"/>
  <c r="M31" i="4"/>
  <c r="N31" i="4"/>
  <c r="O31" i="4"/>
  <c r="P31" i="4"/>
  <c r="Q31" i="4"/>
  <c r="R31" i="4"/>
  <c r="S31" i="4"/>
  <c r="T31" i="4"/>
  <c r="I32" i="4"/>
  <c r="J32" i="4"/>
  <c r="K32" i="4"/>
  <c r="L32" i="4"/>
  <c r="M32" i="4"/>
  <c r="N32" i="4"/>
  <c r="O32" i="4"/>
  <c r="P32" i="4"/>
  <c r="Q32" i="4"/>
  <c r="R32" i="4"/>
  <c r="S32" i="4"/>
  <c r="T32" i="4"/>
  <c r="I33" i="4"/>
  <c r="J33" i="4"/>
  <c r="K33" i="4"/>
  <c r="L33" i="4"/>
  <c r="M33" i="4"/>
  <c r="N33" i="4"/>
  <c r="O33" i="4"/>
  <c r="P33" i="4"/>
  <c r="Q33" i="4"/>
  <c r="R33" i="4"/>
  <c r="S33" i="4"/>
  <c r="T33" i="4"/>
  <c r="I34" i="4"/>
  <c r="J34" i="4"/>
  <c r="K34" i="4"/>
  <c r="L34" i="4"/>
  <c r="M34" i="4"/>
  <c r="N34" i="4"/>
  <c r="O34" i="4"/>
  <c r="P34" i="4"/>
  <c r="Q34" i="4"/>
  <c r="R34" i="4"/>
  <c r="S34" i="4"/>
  <c r="T34" i="4"/>
  <c r="I35" i="4"/>
  <c r="J35" i="4"/>
  <c r="K35" i="4"/>
  <c r="L35" i="4"/>
  <c r="M35" i="4"/>
  <c r="N35" i="4"/>
  <c r="O35" i="4"/>
  <c r="P35" i="4"/>
  <c r="Q35" i="4"/>
  <c r="R35" i="4"/>
  <c r="S35" i="4"/>
  <c r="T35" i="4"/>
  <c r="I36" i="4"/>
  <c r="J36" i="4"/>
  <c r="K36" i="4"/>
  <c r="L36" i="4"/>
  <c r="M36" i="4"/>
  <c r="N36" i="4"/>
  <c r="O36" i="4"/>
  <c r="P36" i="4"/>
  <c r="Q36" i="4"/>
  <c r="R36" i="4"/>
  <c r="S36" i="4"/>
  <c r="T36" i="4"/>
  <c r="I37" i="4"/>
  <c r="J37" i="4"/>
  <c r="K37" i="4"/>
  <c r="L37" i="4"/>
  <c r="M37" i="4"/>
  <c r="N37" i="4"/>
  <c r="O37" i="4"/>
  <c r="P37" i="4"/>
  <c r="Q37" i="4"/>
  <c r="R37" i="4"/>
  <c r="S37" i="4"/>
  <c r="T37" i="4"/>
  <c r="I38" i="4"/>
  <c r="J38" i="4"/>
  <c r="K38" i="4"/>
  <c r="L38" i="4"/>
  <c r="M38" i="4"/>
  <c r="N38" i="4"/>
  <c r="O38" i="4"/>
  <c r="P38" i="4"/>
  <c r="Q38" i="4"/>
  <c r="R38" i="4"/>
  <c r="S38" i="4"/>
  <c r="T38" i="4"/>
  <c r="I39" i="4"/>
  <c r="J39" i="4"/>
  <c r="K39" i="4"/>
  <c r="L39" i="4"/>
  <c r="M39" i="4"/>
  <c r="N39" i="4"/>
  <c r="O39" i="4"/>
  <c r="P39" i="4"/>
  <c r="Q39" i="4"/>
  <c r="R39" i="4"/>
  <c r="S39" i="4"/>
  <c r="T39" i="4"/>
  <c r="I40" i="4"/>
  <c r="J40" i="4"/>
  <c r="K40" i="4"/>
  <c r="L40" i="4"/>
  <c r="M40" i="4"/>
  <c r="N40" i="4"/>
  <c r="O40" i="4"/>
  <c r="P40" i="4"/>
  <c r="Q40" i="4"/>
  <c r="R40" i="4"/>
  <c r="S40" i="4"/>
  <c r="T40" i="4"/>
  <c r="I41" i="4"/>
  <c r="J41" i="4"/>
  <c r="K41" i="4"/>
  <c r="L41" i="4"/>
  <c r="M41" i="4"/>
  <c r="N41" i="4"/>
  <c r="O41" i="4"/>
  <c r="P41" i="4"/>
  <c r="Q41" i="4"/>
  <c r="R41" i="4"/>
  <c r="S41" i="4"/>
  <c r="T41" i="4"/>
  <c r="I42" i="4"/>
  <c r="J42" i="4"/>
  <c r="K42" i="4"/>
  <c r="L42" i="4"/>
  <c r="M42" i="4"/>
  <c r="N42" i="4"/>
  <c r="O42" i="4"/>
  <c r="P42" i="4"/>
  <c r="Q42" i="4"/>
  <c r="R42" i="4"/>
  <c r="S42" i="4"/>
  <c r="T42" i="4"/>
  <c r="I43" i="4"/>
  <c r="J43" i="4"/>
  <c r="K43" i="4"/>
  <c r="L43" i="4"/>
  <c r="M43" i="4"/>
  <c r="N43" i="4"/>
  <c r="O43" i="4"/>
  <c r="P43" i="4"/>
  <c r="Q43" i="4"/>
  <c r="R43" i="4"/>
  <c r="S43" i="4"/>
  <c r="T43" i="4"/>
  <c r="I44" i="4"/>
  <c r="J44" i="4"/>
  <c r="K44" i="4"/>
  <c r="L44" i="4"/>
  <c r="M44" i="4"/>
  <c r="N44" i="4"/>
  <c r="O44" i="4"/>
  <c r="P44" i="4"/>
  <c r="Q44" i="4"/>
  <c r="R44" i="4"/>
  <c r="S44" i="4"/>
  <c r="T44" i="4"/>
  <c r="I45" i="4"/>
  <c r="J45" i="4"/>
  <c r="K45" i="4"/>
  <c r="L45" i="4"/>
  <c r="M45" i="4"/>
  <c r="N45" i="4"/>
  <c r="O45" i="4"/>
  <c r="P45" i="4"/>
  <c r="Q45" i="4"/>
  <c r="R45" i="4"/>
  <c r="S45" i="4"/>
  <c r="T45" i="4"/>
  <c r="I46" i="4"/>
  <c r="J46" i="4"/>
  <c r="K46" i="4"/>
  <c r="L46" i="4"/>
  <c r="M46" i="4"/>
  <c r="N46" i="4"/>
  <c r="O46" i="4"/>
  <c r="P46" i="4"/>
  <c r="Q46" i="4"/>
  <c r="R46" i="4"/>
  <c r="S46" i="4"/>
  <c r="T46" i="4"/>
  <c r="I47" i="4"/>
  <c r="J47" i="4"/>
  <c r="K47" i="4"/>
  <c r="L47" i="4"/>
  <c r="M47" i="4"/>
  <c r="N47" i="4"/>
  <c r="O47" i="4"/>
  <c r="P47" i="4"/>
  <c r="Q47" i="4"/>
  <c r="R47" i="4"/>
  <c r="S47" i="4"/>
  <c r="T47" i="4"/>
  <c r="I48" i="4"/>
  <c r="J48" i="4"/>
  <c r="K48" i="4"/>
  <c r="L48" i="4"/>
  <c r="M48" i="4"/>
  <c r="N48" i="4"/>
  <c r="O48" i="4"/>
  <c r="P48" i="4"/>
  <c r="Q48" i="4"/>
  <c r="R48" i="4"/>
  <c r="S48" i="4"/>
  <c r="T48" i="4"/>
  <c r="I49" i="4"/>
  <c r="J49" i="4"/>
  <c r="K49" i="4"/>
  <c r="L49" i="4"/>
  <c r="M49" i="4"/>
  <c r="N49" i="4"/>
  <c r="O49" i="4"/>
  <c r="P49" i="4"/>
  <c r="Q49" i="4"/>
  <c r="R49" i="4"/>
  <c r="S49" i="4"/>
  <c r="T49" i="4"/>
  <c r="I50" i="4"/>
  <c r="J50" i="4"/>
  <c r="K50" i="4"/>
  <c r="L50" i="4"/>
  <c r="M50" i="4"/>
  <c r="N50" i="4"/>
  <c r="O50" i="4"/>
  <c r="P50" i="4"/>
  <c r="Q50" i="4"/>
  <c r="R50" i="4"/>
  <c r="S50" i="4"/>
  <c r="T50" i="4"/>
  <c r="I51" i="4"/>
  <c r="J51" i="4"/>
  <c r="K51" i="4"/>
  <c r="L51" i="4"/>
  <c r="M51" i="4"/>
  <c r="N51" i="4"/>
  <c r="O51" i="4"/>
  <c r="P51" i="4"/>
  <c r="Q51" i="4"/>
  <c r="R51" i="4"/>
  <c r="S51" i="4"/>
  <c r="T51" i="4"/>
  <c r="I52" i="4"/>
  <c r="J52" i="4"/>
  <c r="K52" i="4"/>
  <c r="L52" i="4"/>
  <c r="M52" i="4"/>
  <c r="N52" i="4"/>
  <c r="O52" i="4"/>
  <c r="P52" i="4"/>
  <c r="Q52" i="4"/>
  <c r="R52" i="4"/>
  <c r="S52" i="4"/>
  <c r="T52" i="4"/>
  <c r="I53" i="4"/>
  <c r="J53" i="4"/>
  <c r="K53" i="4"/>
  <c r="L53" i="4"/>
  <c r="M53" i="4"/>
  <c r="N53" i="4"/>
  <c r="O53" i="4"/>
  <c r="P53" i="4"/>
  <c r="Q53" i="4"/>
  <c r="R53" i="4"/>
  <c r="S53" i="4"/>
  <c r="T53" i="4"/>
  <c r="I54" i="4"/>
  <c r="J54" i="4"/>
  <c r="K54" i="4"/>
  <c r="L54" i="4"/>
  <c r="M54" i="4"/>
  <c r="N54" i="4"/>
  <c r="O54" i="4"/>
  <c r="P54" i="4"/>
  <c r="Q54" i="4"/>
  <c r="R54" i="4"/>
  <c r="S54" i="4"/>
  <c r="T54" i="4"/>
  <c r="I55" i="4"/>
  <c r="J55" i="4"/>
  <c r="K55" i="4"/>
  <c r="L55" i="4"/>
  <c r="M55" i="4"/>
  <c r="N55" i="4"/>
  <c r="O55" i="4"/>
  <c r="P55" i="4"/>
  <c r="Q55" i="4"/>
  <c r="R55" i="4"/>
  <c r="S55" i="4"/>
  <c r="T55" i="4"/>
  <c r="I56" i="4"/>
  <c r="J56" i="4"/>
  <c r="K56" i="4"/>
  <c r="L56" i="4"/>
  <c r="M56" i="4"/>
  <c r="N56" i="4"/>
  <c r="O56" i="4"/>
  <c r="P56" i="4"/>
  <c r="Q56" i="4"/>
  <c r="R56" i="4"/>
  <c r="S56" i="4"/>
  <c r="T56" i="4"/>
  <c r="I57" i="4"/>
  <c r="J57" i="4"/>
  <c r="K57" i="4"/>
  <c r="L57" i="4"/>
  <c r="M57" i="4"/>
  <c r="N57" i="4"/>
  <c r="O57" i="4"/>
  <c r="P57" i="4"/>
  <c r="Q57" i="4"/>
  <c r="R57" i="4"/>
  <c r="S57" i="4"/>
  <c r="T57" i="4"/>
  <c r="I58" i="4"/>
  <c r="J58" i="4"/>
  <c r="K58" i="4"/>
  <c r="L58" i="4"/>
  <c r="M58" i="4"/>
  <c r="N58" i="4"/>
  <c r="O58" i="4"/>
  <c r="P58" i="4"/>
  <c r="Q58" i="4"/>
  <c r="R58" i="4"/>
  <c r="S58" i="4"/>
  <c r="T58" i="4"/>
  <c r="I59" i="4"/>
  <c r="J59" i="4"/>
  <c r="K59" i="4"/>
  <c r="L59" i="4"/>
  <c r="M59" i="4"/>
  <c r="N59" i="4"/>
  <c r="O59" i="4"/>
  <c r="P59" i="4"/>
  <c r="Q59" i="4"/>
  <c r="R59" i="4"/>
  <c r="S59" i="4"/>
  <c r="T59" i="4"/>
  <c r="I60" i="4"/>
  <c r="J60" i="4"/>
  <c r="K60" i="4"/>
  <c r="L60" i="4"/>
  <c r="M60" i="4"/>
  <c r="N60" i="4"/>
  <c r="O60" i="4"/>
  <c r="P60" i="4"/>
  <c r="Q60" i="4"/>
  <c r="R60" i="4"/>
  <c r="S60" i="4"/>
  <c r="T60" i="4"/>
  <c r="I61" i="4"/>
  <c r="J61" i="4"/>
  <c r="K61" i="4"/>
  <c r="L61" i="4"/>
  <c r="M61" i="4"/>
  <c r="N61" i="4"/>
  <c r="O61" i="4"/>
  <c r="P61" i="4"/>
  <c r="Q61" i="4"/>
  <c r="R61" i="4"/>
  <c r="S61" i="4"/>
  <c r="T61" i="4"/>
  <c r="I62" i="4"/>
  <c r="J62" i="4"/>
  <c r="K62" i="4"/>
  <c r="L62" i="4"/>
  <c r="M62" i="4"/>
  <c r="N62" i="4"/>
  <c r="O62" i="4"/>
  <c r="P62" i="4"/>
  <c r="Q62" i="4"/>
  <c r="R62" i="4"/>
  <c r="S62" i="4"/>
  <c r="T62" i="4"/>
  <c r="I63" i="4"/>
  <c r="J63" i="4"/>
  <c r="K63" i="4"/>
  <c r="L63" i="4"/>
  <c r="M63" i="4"/>
  <c r="N63" i="4"/>
  <c r="O63" i="4"/>
  <c r="P63" i="4"/>
  <c r="Q63" i="4"/>
  <c r="R63" i="4"/>
  <c r="S63" i="4"/>
  <c r="T63" i="4"/>
  <c r="I64" i="4"/>
  <c r="J64" i="4"/>
  <c r="K64" i="4"/>
  <c r="L64" i="4"/>
  <c r="M64" i="4"/>
  <c r="N64" i="4"/>
  <c r="O64" i="4"/>
  <c r="P64" i="4"/>
  <c r="Q64" i="4"/>
  <c r="R64" i="4"/>
  <c r="S64" i="4"/>
  <c r="T64" i="4"/>
  <c r="I65" i="4"/>
  <c r="J65" i="4"/>
  <c r="K65" i="4"/>
  <c r="L65" i="4"/>
  <c r="M65" i="4"/>
  <c r="N65" i="4"/>
  <c r="O65" i="4"/>
  <c r="P65" i="4"/>
  <c r="Q65" i="4"/>
  <c r="R65" i="4"/>
  <c r="S65" i="4"/>
  <c r="T65" i="4"/>
  <c r="I66" i="4"/>
  <c r="J66" i="4"/>
  <c r="K66" i="4"/>
  <c r="L66" i="4"/>
  <c r="M66" i="4"/>
  <c r="N66" i="4"/>
  <c r="O66" i="4"/>
  <c r="P66" i="4"/>
  <c r="Q66" i="4"/>
  <c r="R66" i="4"/>
  <c r="S66" i="4"/>
  <c r="T66" i="4"/>
  <c r="I67" i="4"/>
  <c r="J67" i="4"/>
  <c r="K67" i="4"/>
  <c r="L67" i="4"/>
  <c r="M67" i="4"/>
  <c r="N67" i="4"/>
  <c r="O67" i="4"/>
  <c r="P67" i="4"/>
  <c r="Q67" i="4"/>
  <c r="R67" i="4"/>
  <c r="S67" i="4"/>
  <c r="T67" i="4"/>
  <c r="I68" i="4"/>
  <c r="J68" i="4"/>
  <c r="K68" i="4"/>
  <c r="L68" i="4"/>
  <c r="M68" i="4"/>
  <c r="N68" i="4"/>
  <c r="O68" i="4"/>
  <c r="P68" i="4"/>
  <c r="Q68" i="4"/>
  <c r="R68" i="4"/>
  <c r="S68" i="4"/>
  <c r="T68" i="4"/>
  <c r="I69" i="4"/>
  <c r="J69" i="4"/>
  <c r="K69" i="4"/>
  <c r="L69" i="4"/>
  <c r="M69" i="4"/>
  <c r="N69" i="4"/>
  <c r="O69" i="4"/>
  <c r="P69" i="4"/>
  <c r="Q69" i="4"/>
  <c r="R69" i="4"/>
  <c r="S69" i="4"/>
  <c r="T69" i="4"/>
  <c r="I70" i="4"/>
  <c r="J70" i="4"/>
  <c r="K70" i="4"/>
  <c r="L70" i="4"/>
  <c r="M70" i="4"/>
  <c r="N70" i="4"/>
  <c r="O70" i="4"/>
  <c r="P70" i="4"/>
  <c r="Q70" i="4"/>
  <c r="R70" i="4"/>
  <c r="S70" i="4"/>
  <c r="T70" i="4"/>
  <c r="I71" i="4"/>
  <c r="J71" i="4"/>
  <c r="K71" i="4"/>
  <c r="L71" i="4"/>
  <c r="M71" i="4"/>
  <c r="N71" i="4"/>
  <c r="O71" i="4"/>
  <c r="P71" i="4"/>
  <c r="Q71" i="4"/>
  <c r="R71" i="4"/>
  <c r="S71" i="4"/>
  <c r="T71" i="4"/>
  <c r="I72" i="4"/>
  <c r="J72" i="4"/>
  <c r="K72" i="4"/>
  <c r="L72" i="4"/>
  <c r="M72" i="4"/>
  <c r="N72" i="4"/>
  <c r="O72" i="4"/>
  <c r="P72" i="4"/>
  <c r="Q72" i="4"/>
  <c r="R72" i="4"/>
  <c r="S72" i="4"/>
  <c r="T72" i="4"/>
  <c r="I73" i="4"/>
  <c r="J73" i="4"/>
  <c r="K73" i="4"/>
  <c r="L73" i="4"/>
  <c r="M73" i="4"/>
  <c r="N73" i="4"/>
  <c r="O73" i="4"/>
  <c r="P73" i="4"/>
  <c r="Q73" i="4"/>
  <c r="R73" i="4"/>
  <c r="S73" i="4"/>
  <c r="T73" i="4"/>
  <c r="I74" i="4"/>
  <c r="J74" i="4"/>
  <c r="K74" i="4"/>
  <c r="L74" i="4"/>
  <c r="M74" i="4"/>
  <c r="N74" i="4"/>
  <c r="O74" i="4"/>
  <c r="P74" i="4"/>
  <c r="Q74" i="4"/>
  <c r="R74" i="4"/>
  <c r="S74" i="4"/>
  <c r="T74" i="4"/>
  <c r="I75" i="4"/>
  <c r="J75" i="4"/>
  <c r="K75" i="4"/>
  <c r="L75" i="4"/>
  <c r="M75" i="4"/>
  <c r="N75" i="4"/>
  <c r="O75" i="4"/>
  <c r="P75" i="4"/>
  <c r="Q75" i="4"/>
  <c r="R75" i="4"/>
  <c r="S75" i="4"/>
  <c r="T75" i="4"/>
  <c r="I76" i="4"/>
  <c r="J76" i="4"/>
  <c r="K76" i="4"/>
  <c r="L76" i="4"/>
  <c r="M76" i="4"/>
  <c r="N76" i="4"/>
  <c r="O76" i="4"/>
  <c r="P76" i="4"/>
  <c r="Q76" i="4"/>
  <c r="R76" i="4"/>
  <c r="S76" i="4"/>
  <c r="T76" i="4"/>
  <c r="I77" i="4"/>
  <c r="J77" i="4"/>
  <c r="K77" i="4"/>
  <c r="L77" i="4"/>
  <c r="M77" i="4"/>
  <c r="N77" i="4"/>
  <c r="O77" i="4"/>
  <c r="P77" i="4"/>
  <c r="Q77" i="4"/>
  <c r="R77" i="4"/>
  <c r="S77" i="4"/>
  <c r="T77" i="4"/>
  <c r="I78" i="4"/>
  <c r="J78" i="4"/>
  <c r="K78" i="4"/>
  <c r="L78" i="4"/>
  <c r="M78" i="4"/>
  <c r="N78" i="4"/>
  <c r="O78" i="4"/>
  <c r="P78" i="4"/>
  <c r="Q78" i="4"/>
  <c r="R78" i="4"/>
  <c r="S78" i="4"/>
  <c r="T78" i="4"/>
  <c r="I79" i="4"/>
  <c r="J79" i="4"/>
  <c r="K79" i="4"/>
  <c r="L79" i="4"/>
  <c r="M79" i="4"/>
  <c r="N79" i="4"/>
  <c r="O79" i="4"/>
  <c r="P79" i="4"/>
  <c r="Q79" i="4"/>
  <c r="R79" i="4"/>
  <c r="S79" i="4"/>
  <c r="T79" i="4"/>
  <c r="I80" i="4"/>
  <c r="J80" i="4"/>
  <c r="K80" i="4"/>
  <c r="L80" i="4"/>
  <c r="M80" i="4"/>
  <c r="N80" i="4"/>
  <c r="O80" i="4"/>
  <c r="P80" i="4"/>
  <c r="Q80" i="4"/>
  <c r="R80" i="4"/>
  <c r="S80" i="4"/>
  <c r="T80" i="4"/>
  <c r="I81" i="4"/>
  <c r="J81" i="4"/>
  <c r="K81" i="4"/>
  <c r="L81" i="4"/>
  <c r="M81" i="4"/>
  <c r="N81" i="4"/>
  <c r="O81" i="4"/>
  <c r="P81" i="4"/>
  <c r="Q81" i="4"/>
  <c r="R81" i="4"/>
  <c r="S81" i="4"/>
  <c r="T81" i="4"/>
  <c r="I82" i="4"/>
  <c r="J82" i="4"/>
  <c r="K82" i="4"/>
  <c r="L82" i="4"/>
  <c r="M82" i="4"/>
  <c r="N82" i="4"/>
  <c r="O82" i="4"/>
  <c r="P82" i="4"/>
  <c r="Q82" i="4"/>
  <c r="R82" i="4"/>
  <c r="S82" i="4"/>
  <c r="T82" i="4"/>
  <c r="I83" i="4"/>
  <c r="J83" i="4"/>
  <c r="K83" i="4"/>
  <c r="L83" i="4"/>
  <c r="M83" i="4"/>
  <c r="N83" i="4"/>
  <c r="O83" i="4"/>
  <c r="P83" i="4"/>
  <c r="Q83" i="4"/>
  <c r="R83" i="4"/>
  <c r="S83" i="4"/>
  <c r="T83" i="4"/>
  <c r="I84" i="4"/>
  <c r="J84" i="4"/>
  <c r="K84" i="4"/>
  <c r="L84" i="4"/>
  <c r="M84" i="4"/>
  <c r="N84" i="4"/>
  <c r="O84" i="4"/>
  <c r="P84" i="4"/>
  <c r="Q84" i="4"/>
  <c r="R84" i="4"/>
  <c r="S84" i="4"/>
  <c r="T84" i="4"/>
  <c r="I85" i="4"/>
  <c r="J85" i="4"/>
  <c r="K85" i="4"/>
  <c r="L85" i="4"/>
  <c r="M85" i="4"/>
  <c r="N85" i="4"/>
  <c r="O85" i="4"/>
  <c r="P85" i="4"/>
  <c r="Q85" i="4"/>
  <c r="R85" i="4"/>
  <c r="S85" i="4"/>
  <c r="T85" i="4"/>
  <c r="I86" i="4"/>
  <c r="J86" i="4"/>
  <c r="K86" i="4"/>
  <c r="L86" i="4"/>
  <c r="M86" i="4"/>
  <c r="N86" i="4"/>
  <c r="O86" i="4"/>
  <c r="P86" i="4"/>
  <c r="Q86" i="4"/>
  <c r="R86" i="4"/>
  <c r="S86" i="4"/>
  <c r="T86" i="4"/>
  <c r="I87" i="4"/>
  <c r="J87" i="4"/>
  <c r="K87" i="4"/>
  <c r="L87" i="4"/>
  <c r="M87" i="4"/>
  <c r="N87" i="4"/>
  <c r="O87" i="4"/>
  <c r="P87" i="4"/>
  <c r="Q87" i="4"/>
  <c r="R87" i="4"/>
  <c r="S87" i="4"/>
  <c r="T87" i="4"/>
  <c r="I88" i="4"/>
  <c r="J88" i="4"/>
  <c r="K88" i="4"/>
  <c r="L88" i="4"/>
  <c r="M88" i="4"/>
  <c r="N88" i="4"/>
  <c r="O88" i="4"/>
  <c r="P88" i="4"/>
  <c r="Q88" i="4"/>
  <c r="R88" i="4"/>
  <c r="S88" i="4"/>
  <c r="T88" i="4"/>
  <c r="I89" i="4"/>
  <c r="J89" i="4"/>
  <c r="K89" i="4"/>
  <c r="L89" i="4"/>
  <c r="M89" i="4"/>
  <c r="N89" i="4"/>
  <c r="O89" i="4"/>
  <c r="P89" i="4"/>
  <c r="Q89" i="4"/>
  <c r="R89" i="4"/>
  <c r="S89" i="4"/>
  <c r="T89" i="4"/>
  <c r="I90" i="4"/>
  <c r="J90" i="4"/>
  <c r="K90" i="4"/>
  <c r="L90" i="4"/>
  <c r="M90" i="4"/>
  <c r="N90" i="4"/>
  <c r="O90" i="4"/>
  <c r="P90" i="4"/>
  <c r="Q90" i="4"/>
  <c r="R90" i="4"/>
  <c r="S90" i="4"/>
  <c r="T90" i="4"/>
  <c r="I91" i="4"/>
  <c r="J91" i="4"/>
  <c r="K91" i="4"/>
  <c r="L91" i="4"/>
  <c r="M91" i="4"/>
  <c r="N91" i="4"/>
  <c r="O91" i="4"/>
  <c r="P91" i="4"/>
  <c r="Q91" i="4"/>
  <c r="R91" i="4"/>
  <c r="S91" i="4"/>
  <c r="T91" i="4"/>
  <c r="I92" i="4"/>
  <c r="J92" i="4"/>
  <c r="K92" i="4"/>
  <c r="L92" i="4"/>
  <c r="M92" i="4"/>
  <c r="N92" i="4"/>
  <c r="O92" i="4"/>
  <c r="P92" i="4"/>
  <c r="Q92" i="4"/>
  <c r="R92" i="4"/>
  <c r="S92" i="4"/>
  <c r="T92" i="4"/>
  <c r="I93" i="4"/>
  <c r="J93" i="4"/>
  <c r="K93" i="4"/>
  <c r="L93" i="4"/>
  <c r="M93" i="4"/>
  <c r="N93" i="4"/>
  <c r="O93" i="4"/>
  <c r="P93" i="4"/>
  <c r="Q93" i="4"/>
  <c r="R93" i="4"/>
  <c r="S93" i="4"/>
  <c r="T93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G15" i="3"/>
</calcChain>
</file>

<file path=xl/sharedStrings.xml><?xml version="1.0" encoding="utf-8"?>
<sst xmlns="http://schemas.openxmlformats.org/spreadsheetml/2006/main" count="485" uniqueCount="448">
  <si>
    <t>PRECIO EN ORIGEN</t>
  </si>
  <si>
    <t>PORCENTAJE</t>
  </si>
  <si>
    <t>IMPUESTO DE MATRICULACIÓN</t>
  </si>
  <si>
    <t>PROCESO DE MATRICULACIÓN</t>
  </si>
  <si>
    <t>HONORARIOS DE GESTIÓN</t>
  </si>
  <si>
    <t>COSTE DE GESTIÓN EN ORIGEN</t>
  </si>
  <si>
    <t>COSTE DE REVISIÓN EN ORIGEN</t>
  </si>
  <si>
    <t>OTROS COSTES EN ORIGEN</t>
  </si>
  <si>
    <t>TOTAL DE COSTES DE IMPORTACIÓN</t>
  </si>
  <si>
    <t>TOTAL DE COSTE PARA CLIENTE</t>
  </si>
  <si>
    <t>DATOS QUE HAY QUE INTRODUCIR</t>
  </si>
  <si>
    <t>CAMPO</t>
  </si>
  <si>
    <t>EUROS</t>
  </si>
  <si>
    <t>KILÓMETROS</t>
  </si>
  <si>
    <t>COSTE DE TRANSPORTE</t>
  </si>
  <si>
    <t>FECHA DE PRIMERA MATRICULACIÓN</t>
  </si>
  <si>
    <t>REVISION POST COMPRA</t>
  </si>
  <si>
    <t>TIPO DE CAMPO</t>
  </si>
  <si>
    <t>VALOR</t>
  </si>
  <si>
    <t>CAMPO DE FORMULARIO</t>
  </si>
  <si>
    <t>VALOR POR DEFECTO</t>
  </si>
  <si>
    <t>FECHA</t>
  </si>
  <si>
    <t xml:space="preserve"> DD/MM/AAAA</t>
  </si>
  <si>
    <t>VALORES QUE SE CONTEMPLAN EN EL CÁLCULO DEL COSTE DE IMPORTACIÓN Y QUE SE MUESTRAN EN LA PANTALLA DE RESULTADO</t>
  </si>
  <si>
    <t>COGER EL INTRODUCIDO EN EL CAMPO DE PRECIO EN ORIGEN</t>
  </si>
  <si>
    <t>COGER EL INTRODUCIDO EN EL CAMPO DE COSTE DE GESTIÓN EN ORIGEN</t>
  </si>
  <si>
    <t xml:space="preserve">350 EUROS MÁS 1,7 MULTIPLICADO POR EL CAMPO DISTANCIA DESDE ESSEN </t>
  </si>
  <si>
    <t xml:space="preserve">DISTANCIA DESDE ESSEN </t>
  </si>
  <si>
    <t>COGER EL INTRODUCIDO EN EL CAMPO DE COSTE DE GESTIÓN DE TRANSPORTE</t>
  </si>
  <si>
    <t>COGER EL INTRODUCIDO EN EL CAMPO DE COSTE DE OTROS COSTES EN ORIGEN</t>
  </si>
  <si>
    <t>COGER EL RESULTADO DEL CÁLCULO DEL IMPUESTO DE MATRICULACIÓN</t>
  </si>
  <si>
    <t>COGER EL INTRODUCIDO EN EL CAMPO DE PROCESO DE MATRICULACIÓN</t>
  </si>
  <si>
    <t>COGER EL INTRODUCIDO EN EL CAMPO DE REVISIÓN POST COMPRA</t>
  </si>
  <si>
    <t>APLICAR AL PRECIO EN ORIGEN EL PORNCENTAJE DEL CAMPO DE HONORARIOS DE GESTIÓN</t>
  </si>
  <si>
    <t>SUMAR TODO LO ANTERIOR</t>
  </si>
  <si>
    <t>SUMAR AL PRECIO EN ORIGEN EL TOTAL DE COSTES DE IMPORTACIÓN Y REDONDEAR AL ALZA AL MÚLTIPLO DE 100 EUROS</t>
  </si>
  <si>
    <t>EDAD DEL COCHE</t>
  </si>
  <si>
    <t>PARTE ENTERA DE RESTAR A LA FECHA ACTUAL EL CAMPO DE FECHA DE PRIMERA MATRICULACIÓN</t>
  </si>
  <si>
    <t>MODELO</t>
  </si>
  <si>
    <t>TEXTO</t>
  </si>
  <si>
    <t>VALOR PARA IMPUESTO</t>
  </si>
  <si>
    <t>IDENTIFICAR VALOR SEGÚN CASILLA DE MODELO DE COCHE Y EDAD DEL COCHE</t>
  </si>
  <si>
    <t>MULTIPLICAR EL VALOR PARA IMPUESTO POR EL 14,75%</t>
  </si>
  <si>
    <t>ELGIR DE COLUMNA B DE TABLA.xlsx</t>
  </si>
  <si>
    <t>CÁLCULO DEL IMPUESTO DE MATRICULACIÓN COGIENDO VALORES DE TABLA.xlsx</t>
  </si>
  <si>
    <t>TAYCAN Turbo S Cross Turismo (2021)</t>
  </si>
  <si>
    <t>TAYCAN Turbo Cross Turismo (2021)</t>
  </si>
  <si>
    <t>TAYCAN 4S Cross Turismo (2021)</t>
  </si>
  <si>
    <t>TAYCAN 4 Cross Turismo (2021)</t>
  </si>
  <si>
    <t>TAYCAN (2021)</t>
  </si>
  <si>
    <t>TAYCAN Turbo S</t>
  </si>
  <si>
    <t>TAYCAN Turbo</t>
  </si>
  <si>
    <t>TAYCAN 4S</t>
  </si>
  <si>
    <t>TAYCAN 4S (BAT STD)</t>
  </si>
  <si>
    <t>PANAMERA Sport Turismo Turbo S E-Hybrid (2021)</t>
  </si>
  <si>
    <t>PANAMERA Berlina Turbo S E-Hybrid Executive (2021)</t>
  </si>
  <si>
    <t>PANAMERA Berlina Turbo S E-Hybrid (2021)</t>
  </si>
  <si>
    <t>PANAMERA Sport Turismo 4S E-Hybrid (2021)</t>
  </si>
  <si>
    <t>PANAMERA Sport Turismo GTS (2021)</t>
  </si>
  <si>
    <t>PANAMERA Sport Turismo 4 E-Hybrid (2021)</t>
  </si>
  <si>
    <t>PANAMERA Berlina 4 E-Hybrid Executive (2021)</t>
  </si>
  <si>
    <t>PANAMERA Berlina 4 E-Hybrid (2021)</t>
  </si>
  <si>
    <t>PANAMERA Sport Turismo 4S (2021)</t>
  </si>
  <si>
    <t>PANAMERA Berlina 4S Executive (2021)</t>
  </si>
  <si>
    <t>PANAMERA Berlina 4S (2021)</t>
  </si>
  <si>
    <t>PANAMERA Sport Turismo Turbo S 4.0</t>
  </si>
  <si>
    <t>PANAMERA Berlina Turbo S Executive 4.0</t>
  </si>
  <si>
    <t>PANAMERA Berlina Turbo S 4.0</t>
  </si>
  <si>
    <t>PANAMERA Sport Turismo 4S E-Hybrid 4.0</t>
  </si>
  <si>
    <t>PANAMERA Berlina 4S E-Hybrid Executive 3.0</t>
  </si>
  <si>
    <t>PANAMERA Berlina 4S E-Hybrid 3.0</t>
  </si>
  <si>
    <t>PANAMERA Sport Turismo GTS 3.0</t>
  </si>
  <si>
    <t>PANAMERA Berlina GTS 4.0</t>
  </si>
  <si>
    <t>PANAMERA Sport Turismo 4 3.0</t>
  </si>
  <si>
    <t>PANAMERA Berlina 4 Executive 3.0</t>
  </si>
  <si>
    <t>PANAMERA Berlina 4 3.0</t>
  </si>
  <si>
    <t>PANAMERA Berlina 3.0</t>
  </si>
  <si>
    <t>PANAMERA SPORT TURISMO Turbo S E-Hybrid Aut.</t>
  </si>
  <si>
    <t>PANAMERA Turbo S E-Hybrid (2017-)</t>
  </si>
  <si>
    <t>PANAMERA SPORT TURISMO Turbo Aut.</t>
  </si>
  <si>
    <t>PANAMERA SPORT TURISMO 4 E-Hybrid Aut.</t>
  </si>
  <si>
    <t>PANAMERA SPORT TURISMO 4S V6 Aut.</t>
  </si>
  <si>
    <t>PANAMERA SPORT TURISMO 4S Diesel</t>
  </si>
  <si>
    <t>PANAMERA SPORT TURISMO 4 V6 Aut.</t>
  </si>
  <si>
    <t>PANAMERA Turbo Executive Aut.</t>
  </si>
  <si>
    <t>PANAMERA Turbo Aut.</t>
  </si>
  <si>
    <t>PANAMERA 4 E-Hybrid Executive</t>
  </si>
  <si>
    <t>PANAMERA 4 E-Hybrid</t>
  </si>
  <si>
    <t>PANAMERA 4S Aut.</t>
  </si>
  <si>
    <t>PANAMERA 4S Executive PDK (2016-)</t>
  </si>
  <si>
    <t>PANAMERA 4S (2016-)</t>
  </si>
  <si>
    <t>PANAMERA 4S Diesel</t>
  </si>
  <si>
    <t>PANAMERA 4S Diesel AWD Aut.</t>
  </si>
  <si>
    <t>PANAMERA Aut.</t>
  </si>
  <si>
    <t>PANAMERA 4 Executive Aut.</t>
  </si>
  <si>
    <t>PANAMERA 4 Aut.</t>
  </si>
  <si>
    <t>PANAMERA 4</t>
  </si>
  <si>
    <t>PANAMERA (2016-)</t>
  </si>
  <si>
    <t>PANAMERA Turbo S PDK</t>
  </si>
  <si>
    <t>PANAMERA Turbo S Executive PDK</t>
  </si>
  <si>
    <t>PANAMERA Turbo PDK</t>
  </si>
  <si>
    <t>PANAMERA Turbo Executive PDK</t>
  </si>
  <si>
    <t>PANAMERA GTS PDK</t>
  </si>
  <si>
    <t>PANAMERA S PDK</t>
  </si>
  <si>
    <t>PANAMERA 4S PDK</t>
  </si>
  <si>
    <t>PANAMERA 4S Executive PDK</t>
  </si>
  <si>
    <t>PANAMERA S e-Hybrid Tiptronic</t>
  </si>
  <si>
    <t>PANAMERA PDK</t>
  </si>
  <si>
    <t>PANAMERA Edition PDK 4</t>
  </si>
  <si>
    <t>PANAMERA Edition PDK</t>
  </si>
  <si>
    <t>PANAMERA 4 PDK</t>
  </si>
  <si>
    <t>PANAMERA Diesel Tiptronic</t>
  </si>
  <si>
    <t>PANAMERA Diesel Edition</t>
  </si>
  <si>
    <t>PANAMERA S Hybrid (4.75)</t>
  </si>
  <si>
    <t>PANAMERA S Hybrid</t>
  </si>
  <si>
    <t>PANAMERA Diesel Platinum Edition</t>
  </si>
  <si>
    <t>PANAMERA Diesel</t>
  </si>
  <si>
    <t>PANAMERA Turbo S</t>
  </si>
  <si>
    <t>PANAMERA Turbo</t>
  </si>
  <si>
    <t>PANAMERA GTS</t>
  </si>
  <si>
    <t>PANAMERA S</t>
  </si>
  <si>
    <t>PANAMERA 4S</t>
  </si>
  <si>
    <t>PANAMERA4</t>
  </si>
  <si>
    <t>PANAMERA Platinum Edition</t>
  </si>
  <si>
    <t>PANAMERA 4 Platinum Edition</t>
  </si>
  <si>
    <t>PANAMERA</t>
  </si>
  <si>
    <t>Macan S (2021)</t>
  </si>
  <si>
    <t>Macan Turbo 3.0</t>
  </si>
  <si>
    <t>Macan GTS 3.0</t>
  </si>
  <si>
    <t>Macan S 3.0</t>
  </si>
  <si>
    <t>Macan 2.0</t>
  </si>
  <si>
    <t>Macan 3.6 Turbo Perfor. Package Aut.</t>
  </si>
  <si>
    <t>Macan 3.6 Turbo Aut.</t>
  </si>
  <si>
    <t>Macan 3.0 GTS Aut.</t>
  </si>
  <si>
    <t>Macan 3.0 S Aut.</t>
  </si>
  <si>
    <t>Macan 3.0 S Diesel Aut.</t>
  </si>
  <si>
    <t>Macan 3.0 S D Aut. (neum. Todo tiempo)</t>
  </si>
  <si>
    <t>Macan 2.0 Turbo Aut.</t>
  </si>
  <si>
    <t>Macan Turbo</t>
  </si>
  <si>
    <t>Macan GTS</t>
  </si>
  <si>
    <t>Macan S</t>
  </si>
  <si>
    <t>Macan S Diesel 18" -verano</t>
  </si>
  <si>
    <t>Macan S Diesel 18" -todo tiempo</t>
  </si>
  <si>
    <t>Macan S Diesel (9.75)</t>
  </si>
  <si>
    <t>Macan S Diesel</t>
  </si>
  <si>
    <t>Macan</t>
  </si>
  <si>
    <t>Cayenne Coupe Turbo GT (2021)</t>
  </si>
  <si>
    <t>Cayenne Turbo (2021)</t>
  </si>
  <si>
    <t>Cayenne E-Hybrid (2021)</t>
  </si>
  <si>
    <t>Cayenne GTS (2021)</t>
  </si>
  <si>
    <t>Cayenne S (2021)</t>
  </si>
  <si>
    <t>Cayenne (2021)</t>
  </si>
  <si>
    <t>Cayenne Coupe Turbo S E-Hybrid 4.0</t>
  </si>
  <si>
    <t>Cayenne Coupe Turbo 4.0</t>
  </si>
  <si>
    <t>Cayenne Coupe E-Hybrid 3.0</t>
  </si>
  <si>
    <t>Cayenne Coupe GTS 4.0</t>
  </si>
  <si>
    <t>Cayenne Coupe S 3.0</t>
  </si>
  <si>
    <t>Cayenne Coupe 3.0</t>
  </si>
  <si>
    <t>Cayenne 4.0 V8 Turbo S E-Hybrid Coupe</t>
  </si>
  <si>
    <t>Cayenne 4.0 V8 Turbo S E-Hybrid</t>
  </si>
  <si>
    <t>Cayenne 4.0 V8 Turbo Aut. 8V</t>
  </si>
  <si>
    <t>Cayenne 3.0 V6 E-Hybrid Aut. 8V (HIBRIDO)</t>
  </si>
  <si>
    <t>Cayenne 4.8 Turbo S Aut.</t>
  </si>
  <si>
    <t>Cayenne 4.8 Turbo Aut.</t>
  </si>
  <si>
    <t>Cayenne GTS Aut.</t>
  </si>
  <si>
    <t>Cayenne 2.9 S V6 Aut.</t>
  </si>
  <si>
    <t>Cayenne S E-Hybrid (HIBRIDO)</t>
  </si>
  <si>
    <t>Cayenne 3.0 S E-Hybrid Plat. Edition Aut.</t>
  </si>
  <si>
    <t>Cayenne 3.0 S E-Hybrid Aut.</t>
  </si>
  <si>
    <t>Cayenne S 4.2 Diesel Platinum Edition Aut.</t>
  </si>
  <si>
    <t>Cayenne S 4.2 Diesel Aut.</t>
  </si>
  <si>
    <t>Cayenne 3.0 V6 Aut.</t>
  </si>
  <si>
    <t>Cayenne 3.6</t>
  </si>
  <si>
    <t>Cayenne 3.0 Diesel Platinum Edition Aut.</t>
  </si>
  <si>
    <t>Cayenne 3.0 Diesel Aut.</t>
  </si>
  <si>
    <t>Cayenne Turbo S</t>
  </si>
  <si>
    <t>Cayenne GTS</t>
  </si>
  <si>
    <t>Cayenne S Hybrid</t>
  </si>
  <si>
    <t>Cayenne Diesel (2015)</t>
  </si>
  <si>
    <t>Cayenne Turbo (2014)</t>
  </si>
  <si>
    <t>Cayenne S (2014)</t>
  </si>
  <si>
    <t>Cayenne S E-Hybrid (92AAE1)</t>
  </si>
  <si>
    <t>Cayenne S Diesel (2014)</t>
  </si>
  <si>
    <t>Cayenne Diesel (2014)</t>
  </si>
  <si>
    <t>Cayenne GTS Edition 3</t>
  </si>
  <si>
    <t>Cayenne S</t>
  </si>
  <si>
    <t>Cayenne S Diesel</t>
  </si>
  <si>
    <t>Cayenne Tiptronic</t>
  </si>
  <si>
    <t>Cayenne Platinum Edition</t>
  </si>
  <si>
    <t>Cayenne (CO2 248)</t>
  </si>
  <si>
    <t>Cayenne</t>
  </si>
  <si>
    <t>Cayenne Diesel Platinum Edition</t>
  </si>
  <si>
    <t>Cayenne Diesel</t>
  </si>
  <si>
    <t>Cayenne GTS PorscheDesing Ed. 3</t>
  </si>
  <si>
    <t>Cayenne S Transsyberia</t>
  </si>
  <si>
    <t>Cayenne Turbo</t>
  </si>
  <si>
    <t>Cayenne (CO2 310)</t>
  </si>
  <si>
    <t>Cayenne Diesel (CO2 244))</t>
  </si>
  <si>
    <t>Cayenne 4.5 Turbo S</t>
  </si>
  <si>
    <t>Cayenne 4.5 Turbo</t>
  </si>
  <si>
    <t>Cayenne 4.5 S</t>
  </si>
  <si>
    <t>Cayenne 3.2</t>
  </si>
  <si>
    <t>918 Spyder Hibrido</t>
  </si>
  <si>
    <t>918 Spyder Weissach Package Hibrido</t>
  </si>
  <si>
    <t>911 Carrera GT</t>
  </si>
  <si>
    <t>718 BOXSTER Spyder (2021)</t>
  </si>
  <si>
    <t>718 BOXSTER 25 Years (2021)</t>
  </si>
  <si>
    <t>718 CAYMAN GT4</t>
  </si>
  <si>
    <t>718 CAYMAN GTS 4.0</t>
  </si>
  <si>
    <t>718 BOXSTER GTS 4.0</t>
  </si>
  <si>
    <t>718 CAYMAN S 2.5</t>
  </si>
  <si>
    <t>718 BOXSTER S 2.5</t>
  </si>
  <si>
    <t>718 CAYMAN T 2.0</t>
  </si>
  <si>
    <t>718 CAYMAN 2.0</t>
  </si>
  <si>
    <t>718 BOXSTER T 2.0</t>
  </si>
  <si>
    <t>718 BOXSTER 2.0</t>
  </si>
  <si>
    <t>718 CAYMAN GTS Aut.</t>
  </si>
  <si>
    <t>718 CAYMAN GTS</t>
  </si>
  <si>
    <t>718 CAYMAN S PDK</t>
  </si>
  <si>
    <t>718 CAYMAN S</t>
  </si>
  <si>
    <t>718 BOXSTER S PDK</t>
  </si>
  <si>
    <t>718 BOXSTER S</t>
  </si>
  <si>
    <t>718 CAYMAN PDK</t>
  </si>
  <si>
    <t>718 CAYMAN</t>
  </si>
  <si>
    <t>718 BOXSTER PDK</t>
  </si>
  <si>
    <t>718 BOXSTER</t>
  </si>
  <si>
    <t>CAYMAN GT4</t>
  </si>
  <si>
    <t>CAYMAN GTS PDK</t>
  </si>
  <si>
    <t>CAYMAN GTS</t>
  </si>
  <si>
    <t>CAYMAN S PDK</t>
  </si>
  <si>
    <t>CAYMAN S</t>
  </si>
  <si>
    <t>CAYMAN PDK</t>
  </si>
  <si>
    <t>CAYMAN Black Edition PDK</t>
  </si>
  <si>
    <t>CAYMAN Black Edition</t>
  </si>
  <si>
    <t>CAYMAN</t>
  </si>
  <si>
    <t>CAYMAN S Black Edition</t>
  </si>
  <si>
    <t>CAYMAN R</t>
  </si>
  <si>
    <t>CAYMAN S Sport</t>
  </si>
  <si>
    <t>CAYMAN (CO2 214)</t>
  </si>
  <si>
    <t>CAYMAN S Sport (2005)</t>
  </si>
  <si>
    <t>CAYMAN S P.D. Edition 1</t>
  </si>
  <si>
    <t>CAYMAN S Aut</t>
  </si>
  <si>
    <t>CAYMAN S (2005)</t>
  </si>
  <si>
    <t>CAYMAN (2005)</t>
  </si>
  <si>
    <t>BOXSTER Spyder</t>
  </si>
  <si>
    <t>BOXSTER GTS PDK</t>
  </si>
  <si>
    <t>BOXSTER GTS</t>
  </si>
  <si>
    <t>BOXSTER S PDK</t>
  </si>
  <si>
    <t>BOXSTER S</t>
  </si>
  <si>
    <t>BOXSTER PDK</t>
  </si>
  <si>
    <t>BOXSTER Black Edition PDK</t>
  </si>
  <si>
    <t>BOXSTER Black Edition</t>
  </si>
  <si>
    <t>BOXSTER</t>
  </si>
  <si>
    <t>BOXSTER S Black Edition</t>
  </si>
  <si>
    <t>BOXSTER S Porsche Design Ed. 2</t>
  </si>
  <si>
    <t>BOXSTER 2.9</t>
  </si>
  <si>
    <t>BOXSTER S Design Edition 2</t>
  </si>
  <si>
    <t>BOXSTER 60 RS Spyder</t>
  </si>
  <si>
    <t>BOXSTER 3.2 S</t>
  </si>
  <si>
    <t>BOXSTER 2.7</t>
  </si>
  <si>
    <t>BOXSTER 3.2 S (2002)</t>
  </si>
  <si>
    <t>BOXSTER 2.7 (2002)</t>
  </si>
  <si>
    <t>BOXSTER Standard</t>
  </si>
  <si>
    <t>BOXSTER Sport / Confort</t>
  </si>
  <si>
    <t>BOXSTER Soul</t>
  </si>
  <si>
    <t>911 Coupe GT3 Pack Touring (2021)</t>
  </si>
  <si>
    <t>911 Coupe GT3 (2021)</t>
  </si>
  <si>
    <t>911 Targa 4 GTS (2021)</t>
  </si>
  <si>
    <t>911 Coupe Carrera GTS (2021)</t>
  </si>
  <si>
    <t>911 Coupe Carrera 4 GTS (2021)</t>
  </si>
  <si>
    <t>911 Cabrio Carrera GTS (2021)</t>
  </si>
  <si>
    <t>911 Cabrio Carrera 4 GTS (2021)</t>
  </si>
  <si>
    <t>911 Coupe Turbo S 3.7</t>
  </si>
  <si>
    <t>911 Cabrio Turbo S 3.7</t>
  </si>
  <si>
    <t>911 Coupe Turbo 3.7</t>
  </si>
  <si>
    <t>911 Cabrio Turbo 3.7</t>
  </si>
  <si>
    <t>911 Targa 4S Heritage Desgin Edition</t>
  </si>
  <si>
    <t>911 Targa 4S</t>
  </si>
  <si>
    <t>911 Coupe Carrera S 3.0</t>
  </si>
  <si>
    <t>911 Coupe Carrera 4S 3.0</t>
  </si>
  <si>
    <t>911 Cabrio Carrera S 3.0</t>
  </si>
  <si>
    <t>911 Cabrio Carrera 4S 3.0</t>
  </si>
  <si>
    <t>911 Targa 4</t>
  </si>
  <si>
    <t>911 Coupe Carrera 4 3.0</t>
  </si>
  <si>
    <t>911 Coupe Carrera 3.0</t>
  </si>
  <si>
    <t>911 Cabrio Carrera 4 3.0</t>
  </si>
  <si>
    <t>911 Cabrio Carrera 3.0</t>
  </si>
  <si>
    <t>Carrera T Coupe Aut. (2018)</t>
  </si>
  <si>
    <t>Carrera T Coupe (2018)</t>
  </si>
  <si>
    <t>GT2 RS Coupe Aut.</t>
  </si>
  <si>
    <t>Turbo S Exclusive Series Coupe Aut.</t>
  </si>
  <si>
    <t>R Coupe</t>
  </si>
  <si>
    <t>GT3 RS Coupe Aut.</t>
  </si>
  <si>
    <t>GT3 Coupe Aut.</t>
  </si>
  <si>
    <t>GT3 Coupe</t>
  </si>
  <si>
    <t>Carrera 4 GTS Coupe Aut.</t>
  </si>
  <si>
    <t>Turbo S Coupe PDK</t>
  </si>
  <si>
    <t>Turbo S Cabriolet PDK (2015)</t>
  </si>
  <si>
    <t>Turbo Coupe PDK (2015)</t>
  </si>
  <si>
    <t>Turbo Cabriolet PDK (2015)</t>
  </si>
  <si>
    <t>Targa 4 GTS PDK</t>
  </si>
  <si>
    <t>Targa 4 GTS</t>
  </si>
  <si>
    <t>Carrera 4 GTS Coupe</t>
  </si>
  <si>
    <t>Carrera 4 GTS Cabriolet PDK</t>
  </si>
  <si>
    <t>Carrera 4 GTS Cabriolet</t>
  </si>
  <si>
    <t>Carrera 2 GTS Coupe PDK</t>
  </si>
  <si>
    <t>Carrera 2 GTS Coupe</t>
  </si>
  <si>
    <t>Carrera 2 GTS Cabriolet PDK</t>
  </si>
  <si>
    <t>Carrera 2 GTS Cabriolet</t>
  </si>
  <si>
    <t>Targa 4S PDK (2015-)</t>
  </si>
  <si>
    <t>Targa 4S (2015-)</t>
  </si>
  <si>
    <t>Carrera S Coupe PDK (2015)</t>
  </si>
  <si>
    <t>Carrera S Coupe (2015)</t>
  </si>
  <si>
    <t>Carrera S Cabriolet PDK (2015)</t>
  </si>
  <si>
    <t>Carrera S Cabriolet (2015)</t>
  </si>
  <si>
    <t>Carrera 4S Coupe PDK (2015)</t>
  </si>
  <si>
    <t>Carrera 4S Coupe (2015)</t>
  </si>
  <si>
    <t>Carrera 4S Cabriolet PDK (2015)</t>
  </si>
  <si>
    <t>Carrera 4S Cabriolet (2015)</t>
  </si>
  <si>
    <t>Targa 4 PDK (2015-)</t>
  </si>
  <si>
    <t>Carrera Coupe PDK (2015)</t>
  </si>
  <si>
    <t>Carrera Cabriolet PDK (2015)</t>
  </si>
  <si>
    <t>Carrera 4 Coupe PDK (2015)</t>
  </si>
  <si>
    <t>Carrera 4 Coupe (2015)</t>
  </si>
  <si>
    <t>Carrera 4 Cabriolet PDK (2015)</t>
  </si>
  <si>
    <t>Carrera 4 Cabriolet (2015)</t>
  </si>
  <si>
    <t>911 Targa 4 (2015-)</t>
  </si>
  <si>
    <t>911 Carrera Coupe (2015)</t>
  </si>
  <si>
    <t>911 Carrera Cabriolet (2015)</t>
  </si>
  <si>
    <t>Targa 4 GTS PDK (2014-)</t>
  </si>
  <si>
    <t>Targa 4 GTS (2014-)</t>
  </si>
  <si>
    <t>Targa 4SPDK(2014-)</t>
  </si>
  <si>
    <t>Targa 4S (2014-)</t>
  </si>
  <si>
    <t>Targa 4 PDK (2014-)</t>
  </si>
  <si>
    <t>911 Targa 4 (2014-)</t>
  </si>
  <si>
    <t>Turbo S Coupe PDK (2011)</t>
  </si>
  <si>
    <t>Turbo S Cabriolet PDK (2011)</t>
  </si>
  <si>
    <t>Turbo Coupe PDK (2011)</t>
  </si>
  <si>
    <t>Turbo Cabriolet PDK (2011)</t>
  </si>
  <si>
    <t>GT3 RS PDK (2011)</t>
  </si>
  <si>
    <t>GT3 PDK (2011)</t>
  </si>
  <si>
    <t>Carrera GTS Coupe PDK (2011)</t>
  </si>
  <si>
    <t>Carrera GTS Coupe (CO2 223) (2011)</t>
  </si>
  <si>
    <t>Carrera GTS Cabriolet PDK (2011)</t>
  </si>
  <si>
    <t>Carrera GTS Cabriolet (2011)</t>
  </si>
  <si>
    <t>Carrera 4 GTS Coupe PDK (2011)</t>
  </si>
  <si>
    <t>Carrera 4 GTS Coupe (CO2 233) (2011)</t>
  </si>
  <si>
    <t>Carrera 4 GTS Cabriolet PDK (2011)</t>
  </si>
  <si>
    <t>Carrera 4 GTS Cabriolet (2011)</t>
  </si>
  <si>
    <t>911 Speedster</t>
  </si>
  <si>
    <t>Carrera S Coupe PDK (2011)</t>
  </si>
  <si>
    <t>Carrera S Coupe (2011)</t>
  </si>
  <si>
    <t>Carrera S Cabriolet PDK (2011)</t>
  </si>
  <si>
    <t>Carrera S Cabriolet (2011)</t>
  </si>
  <si>
    <t>Carrera 4S Coupe PDK (2011)</t>
  </si>
  <si>
    <t>Carrera 4S Coupe (2011)</t>
  </si>
  <si>
    <t>Carrera 4S Cabriolet PDK (2011)</t>
  </si>
  <si>
    <t>Carrera 4S Cabriolet (2011)</t>
  </si>
  <si>
    <t>Carrera Coupe PDK (2011)</t>
  </si>
  <si>
    <t>Carrera Coupe Black Edition PDK (2011)</t>
  </si>
  <si>
    <t>Carrera Coupe Black Edition (2011)</t>
  </si>
  <si>
    <t>Carrera Cabriolet PDK (2011)</t>
  </si>
  <si>
    <t>Carrera Cabriolet Black Edition PDK (2011)</t>
  </si>
  <si>
    <t>Carrera Cabriolet Black Edition (2011)</t>
  </si>
  <si>
    <t>Carrera 4 Coupe PDK (2011)</t>
  </si>
  <si>
    <t>Carrera 4 Coupe Black Edition PDK (2011)</t>
  </si>
  <si>
    <t>Carrera 4 Coupe Black Edition (2011)</t>
  </si>
  <si>
    <t>Carrera 4 Coupe (2011)</t>
  </si>
  <si>
    <t>Carrera 4 Cabriolet PDK (2011)</t>
  </si>
  <si>
    <t>Carrera 4 Cabriolet Black Edition PDK (2011)</t>
  </si>
  <si>
    <t>Carrera 4 Cabriolet Black Edition (2011)</t>
  </si>
  <si>
    <t>Carrera 4 Cabriolet (2011)</t>
  </si>
  <si>
    <t>911 Carrera Coupe (2011)</t>
  </si>
  <si>
    <t>911 Carrera Cabriolet (CO2 217) (2011)</t>
  </si>
  <si>
    <t>911 GT2 RS</t>
  </si>
  <si>
    <t>911 Turbo S Coupe</t>
  </si>
  <si>
    <t>911 Turbo S Cabriolet</t>
  </si>
  <si>
    <t>911 Turbo Coupe</t>
  </si>
  <si>
    <t>911 Turbo Cabriolet</t>
  </si>
  <si>
    <t>911 GT3 RS 4.0 Coupe</t>
  </si>
  <si>
    <t>911 GT3 RS Coupe</t>
  </si>
  <si>
    <t>911 GT3 Coupe</t>
  </si>
  <si>
    <t>911 Carrera Sport Classic Coupe</t>
  </si>
  <si>
    <t>911 Carrera GTS Coupe</t>
  </si>
  <si>
    <t>911 Carrera GTS Cabriolet (CO2 254)</t>
  </si>
  <si>
    <t>911 Carrera 4 GTS Coupe</t>
  </si>
  <si>
    <t>911 Carrera 4 GTS Cabriolet (CO2 263)</t>
  </si>
  <si>
    <t>911 Carrera S Coupe</t>
  </si>
  <si>
    <t>911 Carrera S Cabriolet (CO2 254)</t>
  </si>
  <si>
    <t>911 Carrera 4S Coupe (CO2 259)</t>
  </si>
  <si>
    <t>911 Carrera 4S Cabriolet (CO2 263)</t>
  </si>
  <si>
    <t>911 Carrera Coupe Black Edition</t>
  </si>
  <si>
    <t>911 Carrera Coupe</t>
  </si>
  <si>
    <t>911 Carrera Cabriolet Black Edition</t>
  </si>
  <si>
    <t>911 Carrera Cabriolet</t>
  </si>
  <si>
    <t>911 Carrera 4 Coupe (CO2 249)</t>
  </si>
  <si>
    <t>911 Carrera 4 Cabriolet (CO2 254)</t>
  </si>
  <si>
    <t>911 Carrera Targa 4S</t>
  </si>
  <si>
    <t>911 Carrera Targa 4</t>
  </si>
  <si>
    <t>911 Turbo Cabriolet (2005)</t>
  </si>
  <si>
    <t>911 Carrera S Cabrio</t>
  </si>
  <si>
    <t>911 Carrera 4S Cabrio</t>
  </si>
  <si>
    <t>911 Carrera Cabrio</t>
  </si>
  <si>
    <t>911 Carrera 4 Cabrio</t>
  </si>
  <si>
    <t>911 Coupe GT2</t>
  </si>
  <si>
    <t>911 Coupe Turbo</t>
  </si>
  <si>
    <t>911 Turbo S Coupe (2004)</t>
  </si>
  <si>
    <t>911 Turbo Coupe (2004)</t>
  </si>
  <si>
    <t>911 Coupe GT3 RS</t>
  </si>
  <si>
    <t>911 Coupe GT3</t>
  </si>
  <si>
    <t>911 Carrera S Coupe (2004)</t>
  </si>
  <si>
    <t>911 Carrera 4S Coupe (2004)</t>
  </si>
  <si>
    <t>911 Carrera Coupe (2004)</t>
  </si>
  <si>
    <t>911 Carrera 4 Coupe (2004)</t>
  </si>
  <si>
    <t>911 Carrera Targa</t>
  </si>
  <si>
    <t>911 GT2</t>
  </si>
  <si>
    <t>911 Turbo</t>
  </si>
  <si>
    <t>911 GT3 RS</t>
  </si>
  <si>
    <t>911 GT3</t>
  </si>
  <si>
    <t>911 Coupe GT3 (1999)</t>
  </si>
  <si>
    <t>911 Turbo S Cabrio</t>
  </si>
  <si>
    <t>911 Turbo Cabrio</t>
  </si>
  <si>
    <t>911 3.4 Carrera 4S Cabrio</t>
  </si>
  <si>
    <t>911 3.4 Carrera Cabrio</t>
  </si>
  <si>
    <t>911 3.4 Carrera 4 Cabrio</t>
  </si>
  <si>
    <t>911 Carrera 4 S</t>
  </si>
  <si>
    <t>911 GT 3 RS</t>
  </si>
  <si>
    <t>911 GT 3</t>
  </si>
  <si>
    <t>911 3.4 Carrera Coupe 40 Anivers.</t>
  </si>
  <si>
    <t>Columna19</t>
  </si>
  <si>
    <t>Columna18</t>
  </si>
  <si>
    <t>Columna17</t>
  </si>
  <si>
    <t>Columna16</t>
  </si>
  <si>
    <t>Columna15</t>
  </si>
  <si>
    <t>Columna14</t>
  </si>
  <si>
    <t>Columna13</t>
  </si>
  <si>
    <t>Columna12</t>
  </si>
  <si>
    <t>Columna11</t>
  </si>
  <si>
    <t>Columna10</t>
  </si>
  <si>
    <t>Columna9</t>
  </si>
  <si>
    <t>Columna8</t>
  </si>
  <si>
    <t>Columna7</t>
  </si>
  <si>
    <t>Columna6</t>
  </si>
  <si>
    <t>Columna5</t>
  </si>
  <si>
    <t>Columna4</t>
  </si>
  <si>
    <t>Columna3</t>
  </si>
  <si>
    <t>Columna2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</si>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</sst>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\ &quot;€&quot;"/>
    <numFmt numFmtId="165" formatCode="#,##0\ &quot;€&quot;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0" tint="-0.249977111117893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Times New Roman"/>
      <family val="1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1" applyFont="1" applyAlignment="1">
      <alignment horizontal="left" vertical="top"/>
    </xf>
    <xf numFmtId="3" fontId="6" fillId="0" borderId="0" xfId="1" applyNumberFormat="1" applyFont="1" applyAlignment="1">
      <alignment horizontal="center" vertical="top" shrinkToFit="1"/>
    </xf>
    <xf numFmtId="1" fontId="6" fillId="0" borderId="0" xfId="1" applyNumberFormat="1" applyFont="1" applyAlignment="1">
      <alignment horizontal="center" vertical="top" shrinkToFit="1"/>
    </xf>
    <xf numFmtId="0" fontId="7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3" fontId="7" fillId="0" borderId="0" xfId="1" applyNumberFormat="1" applyFont="1" applyAlignment="1">
      <alignment horizontal="center" vertical="top" wrapText="1"/>
    </xf>
    <xf numFmtId="165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top" shrinkToFit="1"/>
    </xf>
    <xf numFmtId="165" fontId="7" fillId="0" borderId="0" xfId="1" applyNumberFormat="1" applyFont="1" applyAlignment="1">
      <alignment horizontal="center" vertical="top" wrapText="1"/>
    </xf>
    <xf numFmtId="165" fontId="6" fillId="0" borderId="0" xfId="1" applyNumberFormat="1" applyFont="1" applyAlignment="1">
      <alignment horizontal="left" vertical="top"/>
    </xf>
    <xf numFmtId="9" fontId="6" fillId="0" borderId="0" xfId="2" applyFont="1" applyAlignment="1">
      <alignment horizontal="center" vertical="top"/>
    </xf>
    <xf numFmtId="1" fontId="8" fillId="0" borderId="0" xfId="1" applyNumberFormat="1" applyFont="1" applyAlignment="1">
      <alignment horizontal="center" vertical="top" shrinkToFit="1"/>
    </xf>
  </cellXfs>
  <cellStyles count="3">
    <cellStyle name="Normal" xfId="0" builtinId="0"/>
    <cellStyle name="Normal 2" xfId="1" xr:uid="{81C354E3-45C4-464D-B197-2845CFF74807}"/>
    <cellStyle name="Porcentaje 2" xfId="2" xr:uid="{CFC760EC-43D1-2C40-B9A0-466CD8EBD598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65" formatCode="#,##0\ &quot;€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65" formatCode="#,##0\ &quot;€&quot;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3" formatCode="#,##0"/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E13FE-6B20-2649-9C9C-73971F568166}" name="Tabla2" displayName="Tabla2" ref="B5:T414" totalsRowShown="0" headerRowDxfId="20" dataDxfId="19">
  <autoFilter ref="B5:T414" xr:uid="{3A1D1938-F895-1749-8795-4ED41F9B3AF8}"/>
  <tableColumns count="19">
    <tableColumn id="1" xr3:uid="{68CFF593-3C68-224A-B544-1FA59C030091}" name="Columna1" dataDxfId="18"/>
    <tableColumn id="2" xr3:uid="{55247A76-FEC5-9941-9416-030C89280BCD}" name="Columna2" dataDxfId="17"/>
    <tableColumn id="3" xr3:uid="{DCB15585-422D-0F4E-8E78-160684257950}" name="Columna3" dataDxfId="16"/>
    <tableColumn id="4" xr3:uid="{5001F704-B6AB-774C-B9E5-F28F872938C1}" name="Columna4" dataDxfId="15"/>
    <tableColumn id="5" xr3:uid="{63B24FF7-5216-B743-9465-274A6D33BF14}" name="Columna5" dataDxfId="14"/>
    <tableColumn id="6" xr3:uid="{8417E887-B6A6-3E45-9118-EAE8DA12BEB4}" name="Columna6" dataDxfId="13"/>
    <tableColumn id="7" xr3:uid="{DC4D4E2F-0435-734B-B031-631B41311FDB}" name="Columna7" dataDxfId="12"/>
    <tableColumn id="8" xr3:uid="{F78EA11A-195E-2148-AE48-5DB933CBD817}" name="Columna8" dataDxfId="11">
      <calculatedColumnFormula>IF(2026-I$3&gt;IF($D6="",2026,$D6),IF(I$3=12,0.1*$G6,""),IF(2026-I$4&lt;$C6,"",I$4*$G6))</calculatedColumnFormula>
    </tableColumn>
    <tableColumn id="9" xr3:uid="{DF57E871-B306-A542-BC1B-7C7FDDBBEE7A}" name="Columna9" dataDxfId="10">
      <calculatedColumnFormula>IF(2026-J$3&gt;IF($D6="",2026,$D6),IF(J$3=12,0.1*$G6,""),IF(2026-J$4&lt;$C6,"",J$4*$G6))</calculatedColumnFormula>
    </tableColumn>
    <tableColumn id="10" xr3:uid="{BC024B2B-8A00-EB41-BC07-EF27B0B2ABBA}" name="Columna10" dataDxfId="9">
      <calculatedColumnFormula>IF(2026-K$3&gt;IF($D6="",2026,$D6),IF(K$3=12,0.1*$G6,""),IF(2026-K$4&lt;$C6,"",K$4*$G6))</calculatedColumnFormula>
    </tableColumn>
    <tableColumn id="11" xr3:uid="{1B5AE8BD-E1D4-324A-A67F-44B04000F71E}" name="Columna11" dataDxfId="8">
      <calculatedColumnFormula>IF(2026-L$3&gt;IF($D6="",2026,$D6),IF(L$3=12,0.1*$G6,""),IF(2026-L$4&lt;$C6,"",L$4*$G6))</calculatedColumnFormula>
    </tableColumn>
    <tableColumn id="12" xr3:uid="{AFEBC6EA-07D7-DC41-82F7-EEB7B1A46BDD}" name="Columna12" dataDxfId="7">
      <calculatedColumnFormula>IF(2026-M$3&gt;IF($D6="",2026,$D6),IF(M$3=12,0.1*$G6,""),IF(2026-M$4&lt;$C6,"",M$4*$G6))</calculatedColumnFormula>
    </tableColumn>
    <tableColumn id="13" xr3:uid="{0EE13380-9B0C-EC47-9D50-7EBFAA575A7B}" name="Columna13" dataDxfId="6">
      <calculatedColumnFormula>IF(2026-N$3&gt;IF($D6="",2026,$D6),IF(N$3=12,0.1*$G6,""),IF(2026-N$4&lt;$C6,"",N$4*$G6))</calculatedColumnFormula>
    </tableColumn>
    <tableColumn id="14" xr3:uid="{0B02B784-81C1-E24C-94FB-69CC3C9F7C84}" name="Columna14" dataDxfId="5">
      <calculatedColumnFormula>IF(2026-O$3&gt;IF($D6="",2026,$D6),IF(O$3=12,0.1*$G6,""),IF(2026-O$4&lt;$C6,"",O$4*$G6))</calculatedColumnFormula>
    </tableColumn>
    <tableColumn id="15" xr3:uid="{619162CF-4C9D-C24A-840D-125C3ABA03E7}" name="Columna15" dataDxfId="4">
      <calculatedColumnFormula>IF(2026-P$3&gt;IF($D6="",2026,$D6),IF(P$3=12,0.1*$G6,""),IF(2026-P$4&lt;$C6,"",P$4*$G6))</calculatedColumnFormula>
    </tableColumn>
    <tableColumn id="16" xr3:uid="{961AA636-90F8-714D-A178-3658FAC75649}" name="Columna16" dataDxfId="3">
      <calculatedColumnFormula>IF(2026-Q$3&gt;IF($D6="",2026,$D6),IF(Q$3=12,0.1*$G6,""),IF(2026-Q$4&lt;$C6,"",Q$4*$G6))</calculatedColumnFormula>
    </tableColumn>
    <tableColumn id="17" xr3:uid="{A3C8F17C-35A3-8C4E-BB35-263417E61A9C}" name="Columna17" dataDxfId="2">
      <calculatedColumnFormula>IF(2026-R$3&gt;IF($D6="",2026,$D6),IF(R$3=12,0.1*$G6,""),IF(2026-R$4&lt;$C6,"",R$4*$G6))</calculatedColumnFormula>
    </tableColumn>
    <tableColumn id="18" xr3:uid="{8E07758F-B02E-C944-BE6D-A93E3C8F6BC6}" name="Columna18" dataDxfId="1">
      <calculatedColumnFormula>IF(2026-S$3&gt;IF($D6="",2026,$D6),IF(S$3=12,0.1*$G6,""),IF(2026-S$4&lt;$C6,"",S$4*$G6))</calculatedColumnFormula>
    </tableColumn>
    <tableColumn id="19" xr3:uid="{76BDD197-FD48-424F-A32C-5F54DF87FC74}" name="Columna19" dataDxfId="0">
      <calculatedColumnFormula>IF(2026-T$3&gt;IF($D6="",2026,$D6),IF(T$3=12,0.1*$G6,""),IF(2026-T$4&lt;$C6,"",T$4*$G6))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5DDC-DF43-9D4D-8C7E-96654E81053D}">
  <dimension ref="B3:O38"/>
  <sheetViews>
    <sheetView tabSelected="1" topLeftCell="A5" zoomScale="114" workbookViewId="0">
      <selection activeCell="B5" sqref="B5"/>
    </sheetView>
  </sheetViews>
  <sheetFormatPr baseColWidth="10" defaultRowHeight="16" customHeight="1" x14ac:dyDescent="0.2"/>
  <cols>
    <col min="1" max="1" width="10.83203125" style="3"/>
    <col min="2" max="2" width="3.83203125" style="3" customWidth="1"/>
    <col min="3" max="3" width="5" style="3" customWidth="1"/>
    <col min="4" max="4" width="25.33203125" style="3" customWidth="1"/>
    <col min="5" max="5" width="10.83203125" style="3" customWidth="1"/>
    <col min="6" max="6" width="24.33203125" style="4" customWidth="1"/>
    <col min="7" max="7" width="21.1640625" style="4" bestFit="1" customWidth="1"/>
    <col min="8" max="8" width="1.5" style="3" customWidth="1"/>
    <col min="9" max="9" width="23.5" style="3" bestFit="1" customWidth="1"/>
    <col min="10" max="10" width="7.5" style="3" bestFit="1" customWidth="1"/>
    <col min="11" max="11" width="18.5" style="4" bestFit="1" customWidth="1"/>
    <col min="12" max="12" width="11.6640625" style="3" customWidth="1"/>
    <col min="13" max="13" width="3.6640625" style="3" customWidth="1"/>
    <col min="14" max="14" width="13.1640625" style="4" hidden="1" customWidth="1"/>
    <col min="15" max="15" width="0" style="4" hidden="1" customWidth="1"/>
    <col min="16" max="16384" width="10.83203125" style="3"/>
  </cols>
  <sheetData>
    <row r="3" spans="2:8" ht="16" customHeight="1" x14ac:dyDescent="0.2">
      <c r="B3" s="2"/>
    </row>
    <row r="4" spans="2:8" ht="16" customHeight="1" x14ac:dyDescent="0.2">
      <c r="H4" s="6"/>
    </row>
    <row r="5" spans="2:8" ht="16" customHeight="1" x14ac:dyDescent="0.2">
      <c r="B5" s="3">
        <v>1</v>
      </c>
      <c r="C5" s="2" t="s">
        <v>10</v>
      </c>
      <c r="H5" s="1"/>
    </row>
    <row r="6" spans="2:8" ht="16" customHeight="1" x14ac:dyDescent="0.2">
      <c r="D6" s="2" t="s">
        <v>11</v>
      </c>
      <c r="E6" s="2" t="s">
        <v>17</v>
      </c>
      <c r="F6" s="7" t="s">
        <v>18</v>
      </c>
      <c r="G6" s="7" t="s">
        <v>20</v>
      </c>
      <c r="H6" s="1"/>
    </row>
    <row r="7" spans="2:8" ht="16" customHeight="1" x14ac:dyDescent="0.2">
      <c r="D7" s="3" t="s">
        <v>38</v>
      </c>
      <c r="E7" s="3" t="s">
        <v>39</v>
      </c>
      <c r="F7" s="4" t="s">
        <v>43</v>
      </c>
      <c r="G7" s="7"/>
      <c r="H7" s="1"/>
    </row>
    <row r="8" spans="2:8" ht="16" customHeight="1" x14ac:dyDescent="0.2">
      <c r="D8" s="3" t="s">
        <v>0</v>
      </c>
      <c r="E8" s="3" t="s">
        <v>12</v>
      </c>
      <c r="F8" s="4" t="s">
        <v>19</v>
      </c>
      <c r="G8" s="4">
        <v>0</v>
      </c>
      <c r="H8" s="1"/>
    </row>
    <row r="9" spans="2:8" ht="16" customHeight="1" x14ac:dyDescent="0.2">
      <c r="D9" s="3" t="s">
        <v>5</v>
      </c>
      <c r="E9" s="3" t="s">
        <v>12</v>
      </c>
      <c r="F9" s="4" t="s">
        <v>19</v>
      </c>
      <c r="G9" s="4">
        <v>500</v>
      </c>
      <c r="H9" s="1"/>
    </row>
    <row r="10" spans="2:8" ht="16" customHeight="1" x14ac:dyDescent="0.2">
      <c r="D10" s="3" t="s">
        <v>27</v>
      </c>
      <c r="E10" s="3" t="s">
        <v>13</v>
      </c>
      <c r="F10" s="4" t="s">
        <v>19</v>
      </c>
      <c r="G10" s="4">
        <v>0</v>
      </c>
      <c r="H10" s="1"/>
    </row>
    <row r="11" spans="2:8" ht="16" customHeight="1" x14ac:dyDescent="0.2">
      <c r="B11" s="2"/>
      <c r="D11" s="3" t="s">
        <v>14</v>
      </c>
      <c r="E11" s="3" t="s">
        <v>12</v>
      </c>
      <c r="F11" s="4" t="s">
        <v>19</v>
      </c>
      <c r="G11" s="4">
        <v>0</v>
      </c>
      <c r="H11" s="1"/>
    </row>
    <row r="12" spans="2:8" ht="16" customHeight="1" x14ac:dyDescent="0.2">
      <c r="D12" s="3" t="s">
        <v>7</v>
      </c>
      <c r="E12" s="3" t="s">
        <v>12</v>
      </c>
      <c r="F12" s="4" t="s">
        <v>19</v>
      </c>
      <c r="G12" s="4">
        <v>0</v>
      </c>
      <c r="H12" s="1"/>
    </row>
    <row r="13" spans="2:8" ht="16" customHeight="1" x14ac:dyDescent="0.2">
      <c r="D13" s="3" t="s">
        <v>15</v>
      </c>
      <c r="E13" s="3" t="s">
        <v>21</v>
      </c>
      <c r="F13" s="4" t="s">
        <v>22</v>
      </c>
      <c r="H13" s="1"/>
    </row>
    <row r="14" spans="2:8" ht="16" customHeight="1" x14ac:dyDescent="0.2">
      <c r="D14" s="3" t="s">
        <v>3</v>
      </c>
      <c r="E14" s="3" t="s">
        <v>12</v>
      </c>
      <c r="F14" s="4" t="s">
        <v>19</v>
      </c>
      <c r="G14" s="4">
        <v>615</v>
      </c>
    </row>
    <row r="15" spans="2:8" ht="16" customHeight="1" x14ac:dyDescent="0.2">
      <c r="D15" s="3" t="s">
        <v>16</v>
      </c>
      <c r="E15" s="3" t="s">
        <v>12</v>
      </c>
      <c r="F15" s="4" t="s">
        <v>19</v>
      </c>
      <c r="G15" s="4">
        <f>95*4</f>
        <v>380</v>
      </c>
    </row>
    <row r="16" spans="2:8" ht="16" customHeight="1" x14ac:dyDescent="0.2">
      <c r="D16" s="3" t="s">
        <v>4</v>
      </c>
      <c r="E16" s="3" t="s">
        <v>1</v>
      </c>
      <c r="F16" s="4" t="s">
        <v>19</v>
      </c>
      <c r="G16" s="9">
        <v>0.05</v>
      </c>
    </row>
    <row r="17" spans="2:12" ht="16" customHeight="1" x14ac:dyDescent="0.2">
      <c r="I17" s="5"/>
      <c r="J17" s="5"/>
      <c r="K17" s="8"/>
      <c r="L17" s="5"/>
    </row>
    <row r="18" spans="2:12" ht="16" customHeight="1" x14ac:dyDescent="0.2">
      <c r="B18" s="3">
        <v>2</v>
      </c>
      <c r="C18" s="10" t="s">
        <v>44</v>
      </c>
    </row>
    <row r="19" spans="2:12" ht="16" customHeight="1" x14ac:dyDescent="0.2">
      <c r="D19" s="2"/>
      <c r="E19" s="2"/>
      <c r="F19" s="7"/>
      <c r="G19" s="7"/>
      <c r="H19" s="1"/>
    </row>
    <row r="20" spans="2:12" ht="16" customHeight="1" x14ac:dyDescent="0.2">
      <c r="D20" s="3" t="s">
        <v>36</v>
      </c>
      <c r="E20" s="3" t="s">
        <v>37</v>
      </c>
      <c r="H20" s="1"/>
    </row>
    <row r="21" spans="2:12" ht="16" customHeight="1" x14ac:dyDescent="0.2">
      <c r="D21" s="3" t="s">
        <v>40</v>
      </c>
      <c r="E21" s="3" t="s">
        <v>41</v>
      </c>
      <c r="H21" s="1"/>
    </row>
    <row r="22" spans="2:12" ht="16" customHeight="1" x14ac:dyDescent="0.2">
      <c r="D22" s="3" t="s">
        <v>2</v>
      </c>
      <c r="E22" s="3" t="s">
        <v>42</v>
      </c>
      <c r="H22" s="1"/>
    </row>
    <row r="24" spans="2:12" ht="16" customHeight="1" x14ac:dyDescent="0.2">
      <c r="B24" s="3">
        <v>3</v>
      </c>
      <c r="C24" s="10" t="s">
        <v>23</v>
      </c>
    </row>
    <row r="25" spans="2:12" ht="16" customHeight="1" x14ac:dyDescent="0.2">
      <c r="D25" s="2"/>
      <c r="E25" s="2"/>
      <c r="F25" s="7"/>
      <c r="G25" s="7"/>
      <c r="H25" s="1"/>
    </row>
    <row r="26" spans="2:12" ht="16" customHeight="1" x14ac:dyDescent="0.2">
      <c r="D26" s="3" t="s">
        <v>0</v>
      </c>
      <c r="E26" s="3" t="s">
        <v>24</v>
      </c>
      <c r="H26" s="1"/>
    </row>
    <row r="27" spans="2:12" ht="16" customHeight="1" x14ac:dyDescent="0.2">
      <c r="D27" s="3" t="s">
        <v>5</v>
      </c>
      <c r="E27" s="3" t="s">
        <v>25</v>
      </c>
      <c r="H27" s="1"/>
    </row>
    <row r="28" spans="2:12" ht="16" customHeight="1" x14ac:dyDescent="0.2">
      <c r="D28" s="1" t="s">
        <v>6</v>
      </c>
      <c r="E28" s="3" t="s">
        <v>26</v>
      </c>
      <c r="H28" s="1"/>
    </row>
    <row r="29" spans="2:12" ht="16" customHeight="1" x14ac:dyDescent="0.2">
      <c r="B29" s="2"/>
      <c r="D29" s="3" t="s">
        <v>14</v>
      </c>
      <c r="E29" s="3" t="s">
        <v>28</v>
      </c>
      <c r="H29" s="1"/>
    </row>
    <row r="30" spans="2:12" ht="16" customHeight="1" x14ac:dyDescent="0.2">
      <c r="D30" s="3" t="s">
        <v>7</v>
      </c>
      <c r="E30" s="3" t="s">
        <v>29</v>
      </c>
      <c r="H30" s="1"/>
    </row>
    <row r="31" spans="2:12" ht="16" customHeight="1" x14ac:dyDescent="0.2">
      <c r="D31" s="3" t="s">
        <v>2</v>
      </c>
      <c r="E31" s="3" t="s">
        <v>30</v>
      </c>
      <c r="H31" s="1"/>
    </row>
    <row r="32" spans="2:12" ht="16" customHeight="1" x14ac:dyDescent="0.2">
      <c r="D32" s="3" t="s">
        <v>3</v>
      </c>
      <c r="E32" s="3" t="s">
        <v>31</v>
      </c>
    </row>
    <row r="33" spans="3:5" ht="16" customHeight="1" x14ac:dyDescent="0.2">
      <c r="D33" s="3" t="s">
        <v>16</v>
      </c>
      <c r="E33" s="3" t="s">
        <v>32</v>
      </c>
    </row>
    <row r="34" spans="3:5" ht="16" customHeight="1" x14ac:dyDescent="0.2">
      <c r="D34" s="3" t="s">
        <v>4</v>
      </c>
      <c r="E34" s="3" t="s">
        <v>33</v>
      </c>
    </row>
    <row r="35" spans="3:5" ht="16" customHeight="1" x14ac:dyDescent="0.2">
      <c r="D35" s="3" t="s">
        <v>8</v>
      </c>
      <c r="E35" s="3" t="s">
        <v>34</v>
      </c>
    </row>
    <row r="36" spans="3:5" ht="16" customHeight="1" x14ac:dyDescent="0.2">
      <c r="D36" s="3" t="s">
        <v>9</v>
      </c>
      <c r="E36" s="3" t="s">
        <v>35</v>
      </c>
    </row>
    <row r="38" spans="3:5" ht="16" customHeight="1" x14ac:dyDescent="0.2">
      <c r="C3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A47E-0B56-6641-8138-A46E4BE7B688}">
  <dimension ref="A2:U419"/>
  <sheetViews>
    <sheetView zoomScale="140" workbookViewId="0">
      <pane xSplit="6" ySplit="4" topLeftCell="G7" activePane="bottomRight" state="frozen"/>
      <selection pane="topRight" activeCell="G1" sqref="G1"/>
      <selection pane="bottomLeft" activeCell="A4" sqref="A4"/>
      <selection pane="bottomRight" activeCell="K19" sqref="K19"/>
    </sheetView>
  </sheetViews>
  <sheetFormatPr baseColWidth="10" defaultColWidth="7.5" defaultRowHeight="12" customHeight="1" x14ac:dyDescent="0.2"/>
  <cols>
    <col min="1" max="1" width="6" style="17" customWidth="1"/>
    <col min="2" max="2" width="25.5" style="16" customWidth="1"/>
    <col min="3" max="6" width="8.1640625" style="13" customWidth="1"/>
    <col min="7" max="7" width="8.1640625" style="12" customWidth="1"/>
    <col min="8" max="8" width="1.5" style="11" customWidth="1"/>
    <col min="9" max="9" width="8.1640625" style="14" customWidth="1"/>
    <col min="10" max="10" width="8.1640625" style="13" customWidth="1"/>
    <col min="11" max="13" width="8.83203125" style="13" customWidth="1"/>
    <col min="14" max="14" width="8.83203125" style="12" customWidth="1"/>
    <col min="15" max="15" width="8.83203125" style="15" customWidth="1"/>
    <col min="16" max="16" width="8.83203125" style="14" customWidth="1"/>
    <col min="17" max="20" width="8.83203125" style="13" customWidth="1"/>
    <col min="21" max="21" width="7" style="12" customWidth="1"/>
    <col min="22" max="16384" width="7.5" style="11"/>
  </cols>
  <sheetData>
    <row r="2" spans="2:20" ht="12" customHeight="1" x14ac:dyDescent="0.2">
      <c r="I2" s="25">
        <v>2014</v>
      </c>
      <c r="J2" s="25">
        <v>2015</v>
      </c>
      <c r="K2" s="25">
        <v>2016</v>
      </c>
      <c r="L2" s="25">
        <v>2017</v>
      </c>
      <c r="M2" s="25">
        <v>2018</v>
      </c>
      <c r="N2" s="25">
        <v>2019</v>
      </c>
      <c r="O2" s="25">
        <v>2020</v>
      </c>
      <c r="P2" s="25">
        <v>2021</v>
      </c>
      <c r="Q2" s="25">
        <v>2022</v>
      </c>
      <c r="R2" s="25">
        <v>2023</v>
      </c>
      <c r="S2" s="25">
        <v>2024</v>
      </c>
      <c r="T2" s="25">
        <v>2025</v>
      </c>
    </row>
    <row r="3" spans="2:20" ht="12" customHeight="1" x14ac:dyDescent="0.2">
      <c r="I3" s="14">
        <v>12</v>
      </c>
      <c r="J3" s="13">
        <v>11</v>
      </c>
      <c r="K3" s="13">
        <v>10</v>
      </c>
      <c r="L3" s="14">
        <v>9</v>
      </c>
      <c r="M3" s="13">
        <v>8</v>
      </c>
      <c r="N3" s="13">
        <v>7</v>
      </c>
      <c r="O3" s="14">
        <v>6</v>
      </c>
      <c r="P3" s="13">
        <v>5</v>
      </c>
      <c r="Q3" s="13">
        <v>4</v>
      </c>
      <c r="R3" s="14">
        <v>3</v>
      </c>
      <c r="S3" s="13">
        <v>2</v>
      </c>
      <c r="T3" s="13">
        <v>1</v>
      </c>
    </row>
    <row r="4" spans="2:20" ht="12" customHeight="1" x14ac:dyDescent="0.2">
      <c r="I4" s="24">
        <v>0.1</v>
      </c>
      <c r="J4" s="24">
        <v>0.13</v>
      </c>
      <c r="K4" s="24">
        <v>0.17</v>
      </c>
      <c r="L4" s="24">
        <v>0.19</v>
      </c>
      <c r="M4" s="24">
        <v>0.24</v>
      </c>
      <c r="N4" s="24">
        <v>0.28000000000000003</v>
      </c>
      <c r="O4" s="24">
        <v>0.34</v>
      </c>
      <c r="P4" s="24">
        <v>0.39</v>
      </c>
      <c r="Q4" s="24">
        <v>0.47</v>
      </c>
      <c r="R4" s="24">
        <v>0.56000000000000005</v>
      </c>
      <c r="S4" s="24">
        <v>0.67</v>
      </c>
      <c r="T4" s="24">
        <v>0.84</v>
      </c>
    </row>
    <row r="5" spans="2:20" ht="12" hidden="1" customHeight="1" x14ac:dyDescent="0.2">
      <c r="B5" s="16" t="s">
        <v>447</v>
      </c>
      <c r="C5" s="13" t="s">
        <v>446</v>
      </c>
      <c r="D5" s="13" t="s">
        <v>445</v>
      </c>
      <c r="E5" s="13" t="s">
        <v>444</v>
      </c>
      <c r="F5" s="13" t="s">
        <v>443</v>
      </c>
      <c r="G5" s="21" t="s">
        <v>442</v>
      </c>
      <c r="H5" s="23" t="s">
        <v>441</v>
      </c>
      <c r="I5" s="19" t="s">
        <v>440</v>
      </c>
      <c r="J5" s="19" t="s">
        <v>439</v>
      </c>
      <c r="K5" s="19" t="s">
        <v>438</v>
      </c>
      <c r="L5" s="19" t="s">
        <v>437</v>
      </c>
      <c r="M5" s="19" t="s">
        <v>436</v>
      </c>
      <c r="N5" s="19" t="s">
        <v>435</v>
      </c>
      <c r="O5" s="19" t="s">
        <v>434</v>
      </c>
      <c r="P5" s="19" t="s">
        <v>433</v>
      </c>
      <c r="Q5" s="19" t="s">
        <v>432</v>
      </c>
      <c r="R5" s="19" t="s">
        <v>431</v>
      </c>
      <c r="S5" s="19" t="s">
        <v>430</v>
      </c>
      <c r="T5" s="19" t="s">
        <v>429</v>
      </c>
    </row>
    <row r="6" spans="2:20" ht="12" customHeight="1" x14ac:dyDescent="0.2">
      <c r="B6" s="16" t="s">
        <v>428</v>
      </c>
      <c r="C6" s="13">
        <v>1997</v>
      </c>
      <c r="D6" s="13">
        <v>2004</v>
      </c>
      <c r="E6" s="13">
        <v>3387</v>
      </c>
      <c r="F6" s="13">
        <v>300</v>
      </c>
      <c r="G6" s="21">
        <v>65400</v>
      </c>
      <c r="H6" s="23"/>
      <c r="I6" s="19">
        <f>IF(2026-I$3&gt;IF($D6="",2026,$D6),IF(I$3=12,0.1*$G6,""),IF(2026-I$4&lt;$C6,"",I$4*$G6))</f>
        <v>6540</v>
      </c>
      <c r="J6" s="19" t="str">
        <f>IF(2026-J$3&gt;IF($D6="",2026,$D6),IF(J$3=12,0.1*$G6,""),IF(2026-J$4&lt;$C6,"",J$4*$G6))</f>
        <v/>
      </c>
      <c r="K6" s="19" t="str">
        <f>IF(2026-K$3&gt;IF($D6="",2026,$D6),IF(K$3=12,0.1*$G6,""),IF(2026-K$4&lt;$C6,"",K$4*$G6))</f>
        <v/>
      </c>
      <c r="L6" s="19" t="str">
        <f>IF(2026-L$3&gt;IF($D6="",2026,$D6),IF(L$3=12,0.1*$G6,""),IF(2026-L$4&lt;$C6,"",L$4*$G6))</f>
        <v/>
      </c>
      <c r="M6" s="19" t="str">
        <f>IF(2026-M$3&gt;IF($D6="",2026,$D6),IF(M$3=12,0.1*$G6,""),IF(2026-M$4&lt;$C6,"",M$4*$G6))</f>
        <v/>
      </c>
      <c r="N6" s="19" t="str">
        <f>IF(2026-N$3&gt;IF($D6="",2026,$D6),IF(N$3=12,0.1*$G6,""),IF(2026-N$4&lt;$C6,"",N$4*$G6))</f>
        <v/>
      </c>
      <c r="O6" s="19" t="str">
        <f>IF(2026-O$3&gt;IF($D6="",2026,$D6),IF(O$3=12,0.1*$G6,""),IF(2026-O$4&lt;$C6,"",O$4*$G6))</f>
        <v/>
      </c>
      <c r="P6" s="19" t="str">
        <f>IF(2026-P$3&gt;IF($D6="",2026,$D6),IF(P$3=12,0.1*$G6,""),IF(2026-P$4&lt;$C6,"",P$4*$G6))</f>
        <v/>
      </c>
      <c r="Q6" s="19" t="str">
        <f>IF(2026-Q$3&gt;IF($D6="",2026,$D6),IF(Q$3=12,0.1*$G6,""),IF(2026-Q$4&lt;$C6,"",Q$4*$G6))</f>
        <v/>
      </c>
      <c r="R6" s="19" t="str">
        <f>IF(2026-R$3&gt;IF($D6="",2026,$D6),IF(R$3=12,0.1*$G6,""),IF(2026-R$4&lt;$C6,"",R$4*$G6))</f>
        <v/>
      </c>
      <c r="S6" s="19" t="str">
        <f>IF(2026-S$3&gt;IF($D6="",2026,$D6),IF(S$3=12,0.1*$G6,""),IF(2026-S$4&lt;$C6,"",S$4*$G6))</f>
        <v/>
      </c>
      <c r="T6" s="19" t="str">
        <f>IF(2026-T$3&gt;IF($D6="",2026,$D6),IF(T$3=12,0.1*$G6,""),IF(2026-T$4&lt;$C6,"",T$4*$G6))</f>
        <v/>
      </c>
    </row>
    <row r="7" spans="2:20" ht="12" customHeight="1" x14ac:dyDescent="0.2">
      <c r="B7" s="16" t="s">
        <v>427</v>
      </c>
      <c r="C7" s="13">
        <v>1997</v>
      </c>
      <c r="D7" s="13">
        <v>2004</v>
      </c>
      <c r="E7" s="13">
        <v>3387</v>
      </c>
      <c r="F7" s="13">
        <v>300</v>
      </c>
      <c r="G7" s="21">
        <v>69600</v>
      </c>
      <c r="H7" s="23"/>
      <c r="I7" s="19">
        <f>IF(2026-I$3&gt;IF($D7="",2026,$D7),IF(I$3=12,0.1*$G7,""),IF(2026-I$4&lt;$C7,"",I$4*$G7))</f>
        <v>6960</v>
      </c>
      <c r="J7" s="19" t="str">
        <f>IF(2026-J$3&gt;IF($D7="",2026,$D7),IF(J$3=12,0.1*$G7,""),IF(2026-J$4&lt;$C7,"",J$4*$G7))</f>
        <v/>
      </c>
      <c r="K7" s="19" t="str">
        <f>IF(2026-K$3&gt;IF($D7="",2026,$D7),IF(K$3=12,0.1*$G7,""),IF(2026-K$4&lt;$C7,"",K$4*$G7))</f>
        <v/>
      </c>
      <c r="L7" s="19" t="str">
        <f>IF(2026-L$3&gt;IF($D7="",2026,$D7),IF(L$3=12,0.1*$G7,""),IF(2026-L$4&lt;$C7,"",L$4*$G7))</f>
        <v/>
      </c>
      <c r="M7" s="19" t="str">
        <f>IF(2026-M$3&gt;IF($D7="",2026,$D7),IF(M$3=12,0.1*$G7,""),IF(2026-M$4&lt;$C7,"",M$4*$G7))</f>
        <v/>
      </c>
      <c r="N7" s="19" t="str">
        <f>IF(2026-N$3&gt;IF($D7="",2026,$D7),IF(N$3=12,0.1*$G7,""),IF(2026-N$4&lt;$C7,"",N$4*$G7))</f>
        <v/>
      </c>
      <c r="O7" s="19" t="str">
        <f>IF(2026-O$3&gt;IF($D7="",2026,$D7),IF(O$3=12,0.1*$G7,""),IF(2026-O$4&lt;$C7,"",O$4*$G7))</f>
        <v/>
      </c>
      <c r="P7" s="19" t="str">
        <f>IF(2026-P$3&gt;IF($D7="",2026,$D7),IF(P$3=12,0.1*$G7,""),IF(2026-P$4&lt;$C7,"",P$4*$G7))</f>
        <v/>
      </c>
      <c r="Q7" s="19" t="str">
        <f>IF(2026-Q$3&gt;IF($D7="",2026,$D7),IF(Q$3=12,0.1*$G7,""),IF(2026-Q$4&lt;$C7,"",Q$4*$G7))</f>
        <v/>
      </c>
      <c r="R7" s="19" t="str">
        <f>IF(2026-R$3&gt;IF($D7="",2026,$D7),IF(R$3=12,0.1*$G7,""),IF(2026-R$4&lt;$C7,"",R$4*$G7))</f>
        <v/>
      </c>
      <c r="S7" s="19" t="str">
        <f>IF(2026-S$3&gt;IF($D7="",2026,$D7),IF(S$3=12,0.1*$G7,""),IF(2026-S$4&lt;$C7,"",S$4*$G7))</f>
        <v/>
      </c>
      <c r="T7" s="19" t="str">
        <f>IF(2026-T$3&gt;IF($D7="",2026,$D7),IF(T$3=12,0.1*$G7,""),IF(2026-T$4&lt;$C7,"",T$4*$G7))</f>
        <v/>
      </c>
    </row>
    <row r="8" spans="2:20" ht="12" customHeight="1" x14ac:dyDescent="0.2">
      <c r="B8" s="16" t="s">
        <v>426</v>
      </c>
      <c r="C8" s="13">
        <v>1997</v>
      </c>
      <c r="D8" s="13">
        <v>2004</v>
      </c>
      <c r="E8" s="13">
        <v>3387</v>
      </c>
      <c r="F8" s="13">
        <v>300</v>
      </c>
      <c r="G8" s="21">
        <v>61400</v>
      </c>
      <c r="H8" s="23"/>
      <c r="I8" s="19">
        <f>IF(2026-I$3&gt;IF($D8="",2026,$D8),IF(I$3=12,0.1*$G8,""),IF(2026-I$4&lt;$C8,"",I$4*$G8))</f>
        <v>6140</v>
      </c>
      <c r="J8" s="19" t="str">
        <f>IF(2026-J$3&gt;IF($D8="",2026,$D8),IF(J$3=12,0.1*$G8,""),IF(2026-J$4&lt;$C8,"",J$4*$G8))</f>
        <v/>
      </c>
      <c r="K8" s="19" t="str">
        <f>IF(2026-K$3&gt;IF($D8="",2026,$D8),IF(K$3=12,0.1*$G8,""),IF(2026-K$4&lt;$C8,"",K$4*$G8))</f>
        <v/>
      </c>
      <c r="L8" s="19" t="str">
        <f>IF(2026-L$3&gt;IF($D8="",2026,$D8),IF(L$3=12,0.1*$G8,""),IF(2026-L$4&lt;$C8,"",L$4*$G8))</f>
        <v/>
      </c>
      <c r="M8" s="19" t="str">
        <f>IF(2026-M$3&gt;IF($D8="",2026,$D8),IF(M$3=12,0.1*$G8,""),IF(2026-M$4&lt;$C8,"",M$4*$G8))</f>
        <v/>
      </c>
      <c r="N8" s="19" t="str">
        <f>IF(2026-N$3&gt;IF($D8="",2026,$D8),IF(N$3=12,0.1*$G8,""),IF(2026-N$4&lt;$C8,"",N$4*$G8))</f>
        <v/>
      </c>
      <c r="O8" s="19" t="str">
        <f>IF(2026-O$3&gt;IF($D8="",2026,$D8),IF(O$3=12,0.1*$G8,""),IF(2026-O$4&lt;$C8,"",O$4*$G8))</f>
        <v/>
      </c>
      <c r="P8" s="19" t="str">
        <f>IF(2026-P$3&gt;IF($D8="",2026,$D8),IF(P$3=12,0.1*$G8,""),IF(2026-P$4&lt;$C8,"",P$4*$G8))</f>
        <v/>
      </c>
      <c r="Q8" s="19" t="str">
        <f>IF(2026-Q$3&gt;IF($D8="",2026,$D8),IF(Q$3=12,0.1*$G8,""),IF(2026-Q$4&lt;$C8,"",Q$4*$G8))</f>
        <v/>
      </c>
      <c r="R8" s="19" t="str">
        <f>IF(2026-R$3&gt;IF($D8="",2026,$D8),IF(R$3=12,0.1*$G8,""),IF(2026-R$4&lt;$C8,"",R$4*$G8))</f>
        <v/>
      </c>
      <c r="S8" s="19" t="str">
        <f>IF(2026-S$3&gt;IF($D8="",2026,$D8),IF(S$3=12,0.1*$G8,""),IF(2026-S$4&lt;$C8,"",S$4*$G8))</f>
        <v/>
      </c>
      <c r="T8" s="19" t="str">
        <f>IF(2026-T$3&gt;IF($D8="",2026,$D8),IF(T$3=12,0.1*$G8,""),IF(2026-T$4&lt;$C8,"",T$4*$G8))</f>
        <v/>
      </c>
    </row>
    <row r="9" spans="2:20" ht="12" customHeight="1" x14ac:dyDescent="0.2">
      <c r="B9" s="16" t="s">
        <v>425</v>
      </c>
      <c r="C9" s="13">
        <v>1997</v>
      </c>
      <c r="D9" s="13">
        <v>2004</v>
      </c>
      <c r="E9" s="13">
        <v>3596</v>
      </c>
      <c r="F9" s="13">
        <v>318</v>
      </c>
      <c r="G9" s="21">
        <v>81800</v>
      </c>
      <c r="H9" s="23"/>
      <c r="I9" s="19">
        <f>IF(2026-I$3&gt;IF($D9="",2026,$D9),IF(I$3=12,0.1*$G9,""),IF(2026-I$4&lt;$C9,"",I$4*$G9))</f>
        <v>8180</v>
      </c>
      <c r="J9" s="19" t="str">
        <f>IF(2026-J$3&gt;IF($D9="",2026,$D9),IF(J$3=12,0.1*$G9,""),IF(2026-J$4&lt;$C9,"",J$4*$G9))</f>
        <v/>
      </c>
      <c r="K9" s="19" t="str">
        <f>IF(2026-K$3&gt;IF($D9="",2026,$D9),IF(K$3=12,0.1*$G9,""),IF(2026-K$4&lt;$C9,"",K$4*$G9))</f>
        <v/>
      </c>
      <c r="L9" s="19" t="str">
        <f>IF(2026-L$3&gt;IF($D9="",2026,$D9),IF(L$3=12,0.1*$G9,""),IF(2026-L$4&lt;$C9,"",L$4*$G9))</f>
        <v/>
      </c>
      <c r="M9" s="19" t="str">
        <f>IF(2026-M$3&gt;IF($D9="",2026,$D9),IF(M$3=12,0.1*$G9,""),IF(2026-M$4&lt;$C9,"",M$4*$G9))</f>
        <v/>
      </c>
      <c r="N9" s="19" t="str">
        <f>IF(2026-N$3&gt;IF($D9="",2026,$D9),IF(N$3=12,0.1*$G9,""),IF(2026-N$4&lt;$C9,"",N$4*$G9))</f>
        <v/>
      </c>
      <c r="O9" s="19" t="str">
        <f>IF(2026-O$3&gt;IF($D9="",2026,$D9),IF(O$3=12,0.1*$G9,""),IF(2026-O$4&lt;$C9,"",O$4*$G9))</f>
        <v/>
      </c>
      <c r="P9" s="19" t="str">
        <f>IF(2026-P$3&gt;IF($D9="",2026,$D9),IF(P$3=12,0.1*$G9,""),IF(2026-P$4&lt;$C9,"",P$4*$G9))</f>
        <v/>
      </c>
      <c r="Q9" s="19" t="str">
        <f>IF(2026-Q$3&gt;IF($D9="",2026,$D9),IF(Q$3=12,0.1*$G9,""),IF(2026-Q$4&lt;$C9,"",Q$4*$G9))</f>
        <v/>
      </c>
      <c r="R9" s="19" t="str">
        <f>IF(2026-R$3&gt;IF($D9="",2026,$D9),IF(R$3=12,0.1*$G9,""),IF(2026-R$4&lt;$C9,"",R$4*$G9))</f>
        <v/>
      </c>
      <c r="S9" s="19" t="str">
        <f>IF(2026-S$3&gt;IF($D9="",2026,$D9),IF(S$3=12,0.1*$G9,""),IF(2026-S$4&lt;$C9,"",S$4*$G9))</f>
        <v/>
      </c>
      <c r="T9" s="19" t="str">
        <f>IF(2026-T$3&gt;IF($D9="",2026,$D9),IF(T$3=12,0.1*$G9,""),IF(2026-T$4&lt;$C9,"",T$4*$G9))</f>
        <v/>
      </c>
    </row>
    <row r="10" spans="2:20" ht="12" customHeight="1" x14ac:dyDescent="0.2">
      <c r="B10" s="16" t="s">
        <v>424</v>
      </c>
      <c r="C10" s="13">
        <v>1998</v>
      </c>
      <c r="D10" s="13">
        <v>2005</v>
      </c>
      <c r="E10" s="13">
        <v>3387</v>
      </c>
      <c r="F10" s="13">
        <v>300</v>
      </c>
      <c r="G10" s="21">
        <v>82000</v>
      </c>
      <c r="H10" s="23"/>
      <c r="I10" s="19">
        <f>IF(2026-I$3&gt;IF($D10="",2026,$D10),IF(I$3=12,0.1*$G10,""),IF(2026-I$4&lt;$C10,"",I$4*$G10))</f>
        <v>8200</v>
      </c>
      <c r="J10" s="19" t="str">
        <f>IF(2026-J$3&gt;IF($D10="",2026,$D10),IF(J$3=12,0.1*$G10,""),IF(2026-J$4&lt;$C10,"",J$4*$G10))</f>
        <v/>
      </c>
      <c r="K10" s="19" t="str">
        <f>IF(2026-K$3&gt;IF($D10="",2026,$D10),IF(K$3=12,0.1*$G10,""),IF(2026-K$4&lt;$C10,"",K$4*$G10))</f>
        <v/>
      </c>
      <c r="L10" s="19" t="str">
        <f>IF(2026-L$3&gt;IF($D10="",2026,$D10),IF(L$3=12,0.1*$G10,""),IF(2026-L$4&lt;$C10,"",L$4*$G10))</f>
        <v/>
      </c>
      <c r="M10" s="19" t="str">
        <f>IF(2026-M$3&gt;IF($D10="",2026,$D10),IF(M$3=12,0.1*$G10,""),IF(2026-M$4&lt;$C10,"",M$4*$G10))</f>
        <v/>
      </c>
      <c r="N10" s="19" t="str">
        <f>IF(2026-N$3&gt;IF($D10="",2026,$D10),IF(N$3=12,0.1*$G10,""),IF(2026-N$4&lt;$C10,"",N$4*$G10))</f>
        <v/>
      </c>
      <c r="O10" s="19" t="str">
        <f>IF(2026-O$3&gt;IF($D10="",2026,$D10),IF(O$3=12,0.1*$G10,""),IF(2026-O$4&lt;$C10,"",O$4*$G10))</f>
        <v/>
      </c>
      <c r="P10" s="19" t="str">
        <f>IF(2026-P$3&gt;IF($D10="",2026,$D10),IF(P$3=12,0.1*$G10,""),IF(2026-P$4&lt;$C10,"",P$4*$G10))</f>
        <v/>
      </c>
      <c r="Q10" s="19" t="str">
        <f>IF(2026-Q$3&gt;IF($D10="",2026,$D10),IF(Q$3=12,0.1*$G10,""),IF(2026-Q$4&lt;$C10,"",Q$4*$G10))</f>
        <v/>
      </c>
      <c r="R10" s="19" t="str">
        <f>IF(2026-R$3&gt;IF($D10="",2026,$D10),IF(R$3=12,0.1*$G10,""),IF(2026-R$4&lt;$C10,"",R$4*$G10))</f>
        <v/>
      </c>
      <c r="S10" s="19" t="str">
        <f>IF(2026-S$3&gt;IF($D10="",2026,$D10),IF(S$3=12,0.1*$G10,""),IF(2026-S$4&lt;$C10,"",S$4*$G10))</f>
        <v/>
      </c>
      <c r="T10" s="19" t="str">
        <f>IF(2026-T$3&gt;IF($D10="",2026,$D10),IF(T$3=12,0.1*$G10,""),IF(2026-T$4&lt;$C10,"",T$4*$G10))</f>
        <v/>
      </c>
    </row>
    <row r="11" spans="2:20" ht="12" customHeight="1" x14ac:dyDescent="0.2">
      <c r="B11" s="16" t="s">
        <v>423</v>
      </c>
      <c r="C11" s="13">
        <v>1998</v>
      </c>
      <c r="D11" s="13">
        <v>2005</v>
      </c>
      <c r="E11" s="13">
        <v>3387</v>
      </c>
      <c r="F11" s="13">
        <v>300</v>
      </c>
      <c r="G11" s="21">
        <v>73100</v>
      </c>
      <c r="H11" s="23"/>
      <c r="I11" s="19">
        <f>IF(2026-I$3&gt;IF($D11="",2026,$D11),IF(I$3=12,0.1*$G11,""),IF(2026-I$4&lt;$C11,"",I$4*$G11))</f>
        <v>7310</v>
      </c>
      <c r="J11" s="19" t="str">
        <f>IF(2026-J$3&gt;IF($D11="",2026,$D11),IF(J$3=12,0.1*$G11,""),IF(2026-J$4&lt;$C11,"",J$4*$G11))</f>
        <v/>
      </c>
      <c r="K11" s="19" t="str">
        <f>IF(2026-K$3&gt;IF($D11="",2026,$D11),IF(K$3=12,0.1*$G11,""),IF(2026-K$4&lt;$C11,"",K$4*$G11))</f>
        <v/>
      </c>
      <c r="L11" s="19" t="str">
        <f>IF(2026-L$3&gt;IF($D11="",2026,$D11),IF(L$3=12,0.1*$G11,""),IF(2026-L$4&lt;$C11,"",L$4*$G11))</f>
        <v/>
      </c>
      <c r="M11" s="19" t="str">
        <f>IF(2026-M$3&gt;IF($D11="",2026,$D11),IF(M$3=12,0.1*$G11,""),IF(2026-M$4&lt;$C11,"",M$4*$G11))</f>
        <v/>
      </c>
      <c r="N11" s="19" t="str">
        <f>IF(2026-N$3&gt;IF($D11="",2026,$D11),IF(N$3=12,0.1*$G11,""),IF(2026-N$4&lt;$C11,"",N$4*$G11))</f>
        <v/>
      </c>
      <c r="O11" s="19" t="str">
        <f>IF(2026-O$3&gt;IF($D11="",2026,$D11),IF(O$3=12,0.1*$G11,""),IF(2026-O$4&lt;$C11,"",O$4*$G11))</f>
        <v/>
      </c>
      <c r="P11" s="19" t="str">
        <f>IF(2026-P$3&gt;IF($D11="",2026,$D11),IF(P$3=12,0.1*$G11,""),IF(2026-P$4&lt;$C11,"",P$4*$G11))</f>
        <v/>
      </c>
      <c r="Q11" s="19" t="str">
        <f>IF(2026-Q$3&gt;IF($D11="",2026,$D11),IF(Q$3=12,0.1*$G11,""),IF(2026-Q$4&lt;$C11,"",Q$4*$G11))</f>
        <v/>
      </c>
      <c r="R11" s="19" t="str">
        <f>IF(2026-R$3&gt;IF($D11="",2026,$D11),IF(R$3=12,0.1*$G11,""),IF(2026-R$4&lt;$C11,"",R$4*$G11))</f>
        <v/>
      </c>
      <c r="S11" s="19" t="str">
        <f>IF(2026-S$3&gt;IF($D11="",2026,$D11),IF(S$3=12,0.1*$G11,""),IF(2026-S$4&lt;$C11,"",S$4*$G11))</f>
        <v/>
      </c>
      <c r="T11" s="19" t="str">
        <f>IF(2026-T$3&gt;IF($D11="",2026,$D11),IF(T$3=12,0.1*$G11,""),IF(2026-T$4&lt;$C11,"",T$4*$G11))</f>
        <v/>
      </c>
    </row>
    <row r="12" spans="2:20" ht="12" customHeight="1" x14ac:dyDescent="0.2">
      <c r="B12" s="16" t="s">
        <v>422</v>
      </c>
      <c r="C12" s="13">
        <v>1998</v>
      </c>
      <c r="D12" s="13">
        <v>2005</v>
      </c>
      <c r="E12" s="13">
        <v>3387</v>
      </c>
      <c r="F12" s="13">
        <v>320</v>
      </c>
      <c r="G12" s="21">
        <v>91400</v>
      </c>
      <c r="H12" s="23"/>
      <c r="I12" s="19">
        <f>IF(2026-I$3&gt;IF($D12="",2026,$D12),IF(I$3=12,0.1*$G12,""),IF(2026-I$4&lt;$C12,"",I$4*$G12))</f>
        <v>9140</v>
      </c>
      <c r="J12" s="19" t="str">
        <f>IF(2026-J$3&gt;IF($D12="",2026,$D12),IF(J$3=12,0.1*$G12,""),IF(2026-J$4&lt;$C12,"",J$4*$G12))</f>
        <v/>
      </c>
      <c r="K12" s="19" t="str">
        <f>IF(2026-K$3&gt;IF($D12="",2026,$D12),IF(K$3=12,0.1*$G12,""),IF(2026-K$4&lt;$C12,"",K$4*$G12))</f>
        <v/>
      </c>
      <c r="L12" s="19" t="str">
        <f>IF(2026-L$3&gt;IF($D12="",2026,$D12),IF(L$3=12,0.1*$G12,""),IF(2026-L$4&lt;$C12,"",L$4*$G12))</f>
        <v/>
      </c>
      <c r="M12" s="19" t="str">
        <f>IF(2026-M$3&gt;IF($D12="",2026,$D12),IF(M$3=12,0.1*$G12,""),IF(2026-M$4&lt;$C12,"",M$4*$G12))</f>
        <v/>
      </c>
      <c r="N12" s="19" t="str">
        <f>IF(2026-N$3&gt;IF($D12="",2026,$D12),IF(N$3=12,0.1*$G12,""),IF(2026-N$4&lt;$C12,"",N$4*$G12))</f>
        <v/>
      </c>
      <c r="O12" s="19" t="str">
        <f>IF(2026-O$3&gt;IF($D12="",2026,$D12),IF(O$3=12,0.1*$G12,""),IF(2026-O$4&lt;$C12,"",O$4*$G12))</f>
        <v/>
      </c>
      <c r="P12" s="19" t="str">
        <f>IF(2026-P$3&gt;IF($D12="",2026,$D12),IF(P$3=12,0.1*$G12,""),IF(2026-P$4&lt;$C12,"",P$4*$G12))</f>
        <v/>
      </c>
      <c r="Q12" s="19" t="str">
        <f>IF(2026-Q$3&gt;IF($D12="",2026,$D12),IF(Q$3=12,0.1*$G12,""),IF(2026-Q$4&lt;$C12,"",Q$4*$G12))</f>
        <v/>
      </c>
      <c r="R12" s="19" t="str">
        <f>IF(2026-R$3&gt;IF($D12="",2026,$D12),IF(R$3=12,0.1*$G12,""),IF(2026-R$4&lt;$C12,"",R$4*$G12))</f>
        <v/>
      </c>
      <c r="S12" s="19" t="str">
        <f>IF(2026-S$3&gt;IF($D12="",2026,$D12),IF(S$3=12,0.1*$G12,""),IF(2026-S$4&lt;$C12,"",S$4*$G12))</f>
        <v/>
      </c>
      <c r="T12" s="19" t="str">
        <f>IF(2026-T$3&gt;IF($D12="",2026,$D12),IF(T$3=12,0.1*$G12,""),IF(2026-T$4&lt;$C12,"",T$4*$G12))</f>
        <v/>
      </c>
    </row>
    <row r="13" spans="2:20" ht="12" customHeight="1" x14ac:dyDescent="0.2">
      <c r="B13" s="16" t="s">
        <v>421</v>
      </c>
      <c r="C13" s="13">
        <v>1998</v>
      </c>
      <c r="D13" s="13">
        <v>2005</v>
      </c>
      <c r="E13" s="13">
        <v>3600</v>
      </c>
      <c r="F13" s="13">
        <v>420</v>
      </c>
      <c r="G13" s="21">
        <v>126200</v>
      </c>
      <c r="H13" s="23"/>
      <c r="I13" s="19">
        <f>IF(2026-I$3&gt;IF($D13="",2026,$D13),IF(I$3=12,0.1*$G13,""),IF(2026-I$4&lt;$C13,"",I$4*$G13))</f>
        <v>12620</v>
      </c>
      <c r="J13" s="19" t="str">
        <f>IF(2026-J$3&gt;IF($D13="",2026,$D13),IF(J$3=12,0.1*$G13,""),IF(2026-J$4&lt;$C13,"",J$4*$G13))</f>
        <v/>
      </c>
      <c r="K13" s="19" t="str">
        <f>IF(2026-K$3&gt;IF($D13="",2026,$D13),IF(K$3=12,0.1*$G13,""),IF(2026-K$4&lt;$C13,"",K$4*$G13))</f>
        <v/>
      </c>
      <c r="L13" s="19" t="str">
        <f>IF(2026-L$3&gt;IF($D13="",2026,$D13),IF(L$3=12,0.1*$G13,""),IF(2026-L$4&lt;$C13,"",L$4*$G13))</f>
        <v/>
      </c>
      <c r="M13" s="19" t="str">
        <f>IF(2026-M$3&gt;IF($D13="",2026,$D13),IF(M$3=12,0.1*$G13,""),IF(2026-M$4&lt;$C13,"",M$4*$G13))</f>
        <v/>
      </c>
      <c r="N13" s="19" t="str">
        <f>IF(2026-N$3&gt;IF($D13="",2026,$D13),IF(N$3=12,0.1*$G13,""),IF(2026-N$4&lt;$C13,"",N$4*$G13))</f>
        <v/>
      </c>
      <c r="O13" s="19" t="str">
        <f>IF(2026-O$3&gt;IF($D13="",2026,$D13),IF(O$3=12,0.1*$G13,""),IF(2026-O$4&lt;$C13,"",O$4*$G13))</f>
        <v/>
      </c>
      <c r="P13" s="19" t="str">
        <f>IF(2026-P$3&gt;IF($D13="",2026,$D13),IF(P$3=12,0.1*$G13,""),IF(2026-P$4&lt;$C13,"",P$4*$G13))</f>
        <v/>
      </c>
      <c r="Q13" s="19" t="str">
        <f>IF(2026-Q$3&gt;IF($D13="",2026,$D13),IF(Q$3=12,0.1*$G13,""),IF(2026-Q$4&lt;$C13,"",Q$4*$G13))</f>
        <v/>
      </c>
      <c r="R13" s="19" t="str">
        <f>IF(2026-R$3&gt;IF($D13="",2026,$D13),IF(R$3=12,0.1*$G13,""),IF(2026-R$4&lt;$C13,"",R$4*$G13))</f>
        <v/>
      </c>
      <c r="S13" s="19" t="str">
        <f>IF(2026-S$3&gt;IF($D13="",2026,$D13),IF(S$3=12,0.1*$G13,""),IF(2026-S$4&lt;$C13,"",S$4*$G13))</f>
        <v/>
      </c>
      <c r="T13" s="19" t="str">
        <f>IF(2026-T$3&gt;IF($D13="",2026,$D13),IF(T$3=12,0.1*$G13,""),IF(2026-T$4&lt;$C13,"",T$4*$G13))</f>
        <v/>
      </c>
    </row>
    <row r="14" spans="2:20" ht="12" customHeight="1" x14ac:dyDescent="0.2">
      <c r="B14" s="16" t="s">
        <v>420</v>
      </c>
      <c r="C14" s="13">
        <v>1998</v>
      </c>
      <c r="D14" s="13">
        <v>2005</v>
      </c>
      <c r="E14" s="13">
        <v>3600</v>
      </c>
      <c r="F14" s="13">
        <v>450</v>
      </c>
      <c r="G14" s="21">
        <v>138500</v>
      </c>
      <c r="H14" s="23"/>
      <c r="I14" s="19">
        <f>IF(2026-I$3&gt;IF($D14="",2026,$D14),IF(I$3=12,0.1*$G14,""),IF(2026-I$4&lt;$C14,"",I$4*$G14))</f>
        <v>13850</v>
      </c>
      <c r="J14" s="19" t="str">
        <f>IF(2026-J$3&gt;IF($D14="",2026,$D14),IF(J$3=12,0.1*$G14,""),IF(2026-J$4&lt;$C14,"",J$4*$G14))</f>
        <v/>
      </c>
      <c r="K14" s="19" t="str">
        <f>IF(2026-K$3&gt;IF($D14="",2026,$D14),IF(K$3=12,0.1*$G14,""),IF(2026-K$4&lt;$C14,"",K$4*$G14))</f>
        <v/>
      </c>
      <c r="L14" s="19" t="str">
        <f>IF(2026-L$3&gt;IF($D14="",2026,$D14),IF(L$3=12,0.1*$G14,""),IF(2026-L$4&lt;$C14,"",L$4*$G14))</f>
        <v/>
      </c>
      <c r="M14" s="19" t="str">
        <f>IF(2026-M$3&gt;IF($D14="",2026,$D14),IF(M$3=12,0.1*$G14,""),IF(2026-M$4&lt;$C14,"",M$4*$G14))</f>
        <v/>
      </c>
      <c r="N14" s="19" t="str">
        <f>IF(2026-N$3&gt;IF($D14="",2026,$D14),IF(N$3=12,0.1*$G14,""),IF(2026-N$4&lt;$C14,"",N$4*$G14))</f>
        <v/>
      </c>
      <c r="O14" s="19" t="str">
        <f>IF(2026-O$3&gt;IF($D14="",2026,$D14),IF(O$3=12,0.1*$G14,""),IF(2026-O$4&lt;$C14,"",O$4*$G14))</f>
        <v/>
      </c>
      <c r="P14" s="19" t="str">
        <f>IF(2026-P$3&gt;IF($D14="",2026,$D14),IF(P$3=12,0.1*$G14,""),IF(2026-P$4&lt;$C14,"",P$4*$G14))</f>
        <v/>
      </c>
      <c r="Q14" s="19" t="str">
        <f>IF(2026-Q$3&gt;IF($D14="",2026,$D14),IF(Q$3=12,0.1*$G14,""),IF(2026-Q$4&lt;$C14,"",Q$4*$G14))</f>
        <v/>
      </c>
      <c r="R14" s="19" t="str">
        <f>IF(2026-R$3&gt;IF($D14="",2026,$D14),IF(R$3=12,0.1*$G14,""),IF(2026-R$4&lt;$C14,"",R$4*$G14))</f>
        <v/>
      </c>
      <c r="S14" s="19" t="str">
        <f>IF(2026-S$3&gt;IF($D14="",2026,$D14),IF(S$3=12,0.1*$G14,""),IF(2026-S$4&lt;$C14,"",S$4*$G14))</f>
        <v/>
      </c>
      <c r="T14" s="19" t="str">
        <f>IF(2026-T$3&gt;IF($D14="",2026,$D14),IF(T$3=12,0.1*$G14,""),IF(2026-T$4&lt;$C14,"",T$4*$G14))</f>
        <v/>
      </c>
    </row>
    <row r="15" spans="2:20" ht="12" customHeight="1" x14ac:dyDescent="0.2">
      <c r="B15" s="16" t="s">
        <v>419</v>
      </c>
      <c r="C15" s="13">
        <v>1999</v>
      </c>
      <c r="D15" s="13">
        <v>2004</v>
      </c>
      <c r="E15" s="13">
        <v>3600</v>
      </c>
      <c r="F15" s="13">
        <v>360</v>
      </c>
      <c r="G15" s="21">
        <v>84900</v>
      </c>
      <c r="H15" s="23"/>
      <c r="I15" s="19">
        <f>IF(2026-I$3&gt;IF($D15="",2026,$D15),IF(I$3=12,0.1*$G15,""),IF(2026-I$4&lt;$C15,"",I$4*$G15))</f>
        <v>8490</v>
      </c>
      <c r="J15" s="19" t="str">
        <f>IF(2026-J$3&gt;IF($D15="",2026,$D15),IF(J$3=12,0.1*$G15,""),IF(2026-J$4&lt;$C15,"",J$4*$G15))</f>
        <v/>
      </c>
      <c r="K15" s="19" t="str">
        <f>IF(2026-K$3&gt;IF($D15="",2026,$D15),IF(K$3=12,0.1*$G15,""),IF(2026-K$4&lt;$C15,"",K$4*$G15))</f>
        <v/>
      </c>
      <c r="L15" s="19" t="str">
        <f>IF(2026-L$3&gt;IF($D15="",2026,$D15),IF(L$3=12,0.1*$G15,""),IF(2026-L$4&lt;$C15,"",L$4*$G15))</f>
        <v/>
      </c>
      <c r="M15" s="19" t="str">
        <f>IF(2026-M$3&gt;IF($D15="",2026,$D15),IF(M$3=12,0.1*$G15,""),IF(2026-M$4&lt;$C15,"",M$4*$G15))</f>
        <v/>
      </c>
      <c r="N15" s="19" t="str">
        <f>IF(2026-N$3&gt;IF($D15="",2026,$D15),IF(N$3=12,0.1*$G15,""),IF(2026-N$4&lt;$C15,"",N$4*$G15))</f>
        <v/>
      </c>
      <c r="O15" s="19" t="str">
        <f>IF(2026-O$3&gt;IF($D15="",2026,$D15),IF(O$3=12,0.1*$G15,""),IF(2026-O$4&lt;$C15,"",O$4*$G15))</f>
        <v/>
      </c>
      <c r="P15" s="19" t="str">
        <f>IF(2026-P$3&gt;IF($D15="",2026,$D15),IF(P$3=12,0.1*$G15,""),IF(2026-P$4&lt;$C15,"",P$4*$G15))</f>
        <v/>
      </c>
      <c r="Q15" s="19" t="str">
        <f>IF(2026-Q$3&gt;IF($D15="",2026,$D15),IF(Q$3=12,0.1*$G15,""),IF(2026-Q$4&lt;$C15,"",Q$4*$G15))</f>
        <v/>
      </c>
      <c r="R15" s="19" t="str">
        <f>IF(2026-R$3&gt;IF($D15="",2026,$D15),IF(R$3=12,0.1*$G15,""),IF(2026-R$4&lt;$C15,"",R$4*$G15))</f>
        <v/>
      </c>
      <c r="S15" s="19" t="str">
        <f>IF(2026-S$3&gt;IF($D15="",2026,$D15),IF(S$3=12,0.1*$G15,""),IF(2026-S$4&lt;$C15,"",S$4*$G15))</f>
        <v/>
      </c>
      <c r="T15" s="19" t="str">
        <f>IF(2026-T$3&gt;IF($D15="",2026,$D15),IF(T$3=12,0.1*$G15,""),IF(2026-T$4&lt;$C15,"",T$4*$G15))</f>
        <v/>
      </c>
    </row>
    <row r="16" spans="2:20" ht="12" customHeight="1" x14ac:dyDescent="0.2">
      <c r="B16" s="16" t="s">
        <v>418</v>
      </c>
      <c r="C16" s="13">
        <v>1999</v>
      </c>
      <c r="D16" s="13">
        <v>2004</v>
      </c>
      <c r="E16" s="13">
        <v>3600</v>
      </c>
      <c r="F16" s="13">
        <v>381</v>
      </c>
      <c r="G16" s="21">
        <v>93000</v>
      </c>
      <c r="H16" s="23"/>
      <c r="I16" s="19">
        <f>IF(2026-I$3&gt;IF($D16="",2026,$D16),IF(I$3=12,0.1*$G16,""),IF(2026-I$4&lt;$C16,"",I$4*$G16))</f>
        <v>9300</v>
      </c>
      <c r="J16" s="19" t="str">
        <f>IF(2026-J$3&gt;IF($D16="",2026,$D16),IF(J$3=12,0.1*$G16,""),IF(2026-J$4&lt;$C16,"",J$4*$G16))</f>
        <v/>
      </c>
      <c r="K16" s="19" t="str">
        <f>IF(2026-K$3&gt;IF($D16="",2026,$D16),IF(K$3=12,0.1*$G16,""),IF(2026-K$4&lt;$C16,"",K$4*$G16))</f>
        <v/>
      </c>
      <c r="L16" s="19" t="str">
        <f>IF(2026-L$3&gt;IF($D16="",2026,$D16),IF(L$3=12,0.1*$G16,""),IF(2026-L$4&lt;$C16,"",L$4*$G16))</f>
        <v/>
      </c>
      <c r="M16" s="19" t="str">
        <f>IF(2026-M$3&gt;IF($D16="",2026,$D16),IF(M$3=12,0.1*$G16,""),IF(2026-M$4&lt;$C16,"",M$4*$G16))</f>
        <v/>
      </c>
      <c r="N16" s="19" t="str">
        <f>IF(2026-N$3&gt;IF($D16="",2026,$D16),IF(N$3=12,0.1*$G16,""),IF(2026-N$4&lt;$C16,"",N$4*$G16))</f>
        <v/>
      </c>
      <c r="O16" s="19" t="str">
        <f>IF(2026-O$3&gt;IF($D16="",2026,$D16),IF(O$3=12,0.1*$G16,""),IF(2026-O$4&lt;$C16,"",O$4*$G16))</f>
        <v/>
      </c>
      <c r="P16" s="19" t="str">
        <f>IF(2026-P$3&gt;IF($D16="",2026,$D16),IF(P$3=12,0.1*$G16,""),IF(2026-P$4&lt;$C16,"",P$4*$G16))</f>
        <v/>
      </c>
      <c r="Q16" s="19" t="str">
        <f>IF(2026-Q$3&gt;IF($D16="",2026,$D16),IF(Q$3=12,0.1*$G16,""),IF(2026-Q$4&lt;$C16,"",Q$4*$G16))</f>
        <v/>
      </c>
      <c r="R16" s="19" t="str">
        <f>IF(2026-R$3&gt;IF($D16="",2026,$D16),IF(R$3=12,0.1*$G16,""),IF(2026-R$4&lt;$C16,"",R$4*$G16))</f>
        <v/>
      </c>
      <c r="S16" s="19" t="str">
        <f>IF(2026-S$3&gt;IF($D16="",2026,$D16),IF(S$3=12,0.1*$G16,""),IF(2026-S$4&lt;$C16,"",S$4*$G16))</f>
        <v/>
      </c>
      <c r="T16" s="19" t="str">
        <f>IF(2026-T$3&gt;IF($D16="",2026,$D16),IF(T$3=12,0.1*$G16,""),IF(2026-T$4&lt;$C16,"",T$4*$G16))</f>
        <v/>
      </c>
    </row>
    <row r="17" spans="1:20" ht="12" customHeight="1" x14ac:dyDescent="0.2">
      <c r="B17" s="16" t="s">
        <v>417</v>
      </c>
      <c r="C17" s="13">
        <v>1999</v>
      </c>
      <c r="D17" s="13">
        <v>2004</v>
      </c>
      <c r="E17" s="13">
        <v>3600</v>
      </c>
      <c r="F17" s="13">
        <v>381</v>
      </c>
      <c r="G17" s="21">
        <v>109300</v>
      </c>
      <c r="H17" s="23"/>
      <c r="I17" s="19">
        <f>IF(2026-I$3&gt;IF($D17="",2026,$D17),IF(I$3=12,0.1*$G17,""),IF(2026-I$4&lt;$C17,"",I$4*$G17))</f>
        <v>10930</v>
      </c>
      <c r="J17" s="19" t="str">
        <f>IF(2026-J$3&gt;IF($D17="",2026,$D17),IF(J$3=12,0.1*$G17,""),IF(2026-J$4&lt;$C17,"",J$4*$G17))</f>
        <v/>
      </c>
      <c r="K17" s="19" t="str">
        <f>IF(2026-K$3&gt;IF($D17="",2026,$D17),IF(K$3=12,0.1*$G17,""),IF(2026-K$4&lt;$C17,"",K$4*$G17))</f>
        <v/>
      </c>
      <c r="L17" s="19" t="str">
        <f>IF(2026-L$3&gt;IF($D17="",2026,$D17),IF(L$3=12,0.1*$G17,""),IF(2026-L$4&lt;$C17,"",L$4*$G17))</f>
        <v/>
      </c>
      <c r="M17" s="19" t="str">
        <f>IF(2026-M$3&gt;IF($D17="",2026,$D17),IF(M$3=12,0.1*$G17,""),IF(2026-M$4&lt;$C17,"",M$4*$G17))</f>
        <v/>
      </c>
      <c r="N17" s="19" t="str">
        <f>IF(2026-N$3&gt;IF($D17="",2026,$D17),IF(N$3=12,0.1*$G17,""),IF(2026-N$4&lt;$C17,"",N$4*$G17))</f>
        <v/>
      </c>
      <c r="O17" s="19" t="str">
        <f>IF(2026-O$3&gt;IF($D17="",2026,$D17),IF(O$3=12,0.1*$G17,""),IF(2026-O$4&lt;$C17,"",O$4*$G17))</f>
        <v/>
      </c>
      <c r="P17" s="19" t="str">
        <f>IF(2026-P$3&gt;IF($D17="",2026,$D17),IF(P$3=12,0.1*$G17,""),IF(2026-P$4&lt;$C17,"",P$4*$G17))</f>
        <v/>
      </c>
      <c r="Q17" s="19" t="str">
        <f>IF(2026-Q$3&gt;IF($D17="",2026,$D17),IF(Q$3=12,0.1*$G17,""),IF(2026-Q$4&lt;$C17,"",Q$4*$G17))</f>
        <v/>
      </c>
      <c r="R17" s="19" t="str">
        <f>IF(2026-R$3&gt;IF($D17="",2026,$D17),IF(R$3=12,0.1*$G17,""),IF(2026-R$4&lt;$C17,"",R$4*$G17))</f>
        <v/>
      </c>
      <c r="S17" s="19" t="str">
        <f>IF(2026-S$3&gt;IF($D17="",2026,$D17),IF(S$3=12,0.1*$G17,""),IF(2026-S$4&lt;$C17,"",S$4*$G17))</f>
        <v/>
      </c>
      <c r="T17" s="19" t="str">
        <f>IF(2026-T$3&gt;IF($D17="",2026,$D17),IF(T$3=12,0.1*$G17,""),IF(2026-T$4&lt;$C17,"",T$4*$G17))</f>
        <v/>
      </c>
    </row>
    <row r="18" spans="1:20" ht="12" customHeight="1" x14ac:dyDescent="0.2">
      <c r="B18" s="16" t="s">
        <v>416</v>
      </c>
      <c r="C18" s="13">
        <v>1999</v>
      </c>
      <c r="D18" s="13">
        <v>2004</v>
      </c>
      <c r="E18" s="13">
        <v>3600</v>
      </c>
      <c r="F18" s="13">
        <v>420</v>
      </c>
      <c r="G18" s="21">
        <v>117600</v>
      </c>
      <c r="H18" s="23"/>
      <c r="I18" s="19">
        <f>IF(2026-I$3&gt;IF($D18="",2026,$D18),IF(I$3=12,0.1*$G18,""),IF(2026-I$4&lt;$C18,"",I$4*$G18))</f>
        <v>11760</v>
      </c>
      <c r="J18" s="19" t="str">
        <f>IF(2026-J$3&gt;IF($D18="",2026,$D18),IF(J$3=12,0.1*$G18,""),IF(2026-J$4&lt;$C18,"",J$4*$G18))</f>
        <v/>
      </c>
      <c r="K18" s="19" t="str">
        <f>IF(2026-K$3&gt;IF($D18="",2026,$D18),IF(K$3=12,0.1*$G18,""),IF(2026-K$4&lt;$C18,"",K$4*$G18))</f>
        <v/>
      </c>
      <c r="L18" s="19" t="str">
        <f>IF(2026-L$3&gt;IF($D18="",2026,$D18),IF(L$3=12,0.1*$G18,""),IF(2026-L$4&lt;$C18,"",L$4*$G18))</f>
        <v/>
      </c>
      <c r="M18" s="19" t="str">
        <f>IF(2026-M$3&gt;IF($D18="",2026,$D18),IF(M$3=12,0.1*$G18,""),IF(2026-M$4&lt;$C18,"",M$4*$G18))</f>
        <v/>
      </c>
      <c r="N18" s="19" t="str">
        <f>IF(2026-N$3&gt;IF($D18="",2026,$D18),IF(N$3=12,0.1*$G18,""),IF(2026-N$4&lt;$C18,"",N$4*$G18))</f>
        <v/>
      </c>
      <c r="O18" s="19" t="str">
        <f>IF(2026-O$3&gt;IF($D18="",2026,$D18),IF(O$3=12,0.1*$G18,""),IF(2026-O$4&lt;$C18,"",O$4*$G18))</f>
        <v/>
      </c>
      <c r="P18" s="19" t="str">
        <f>IF(2026-P$3&gt;IF($D18="",2026,$D18),IF(P$3=12,0.1*$G18,""),IF(2026-P$4&lt;$C18,"",P$4*$G18))</f>
        <v/>
      </c>
      <c r="Q18" s="19" t="str">
        <f>IF(2026-Q$3&gt;IF($D18="",2026,$D18),IF(Q$3=12,0.1*$G18,""),IF(2026-Q$4&lt;$C18,"",Q$4*$G18))</f>
        <v/>
      </c>
      <c r="R18" s="19" t="str">
        <f>IF(2026-R$3&gt;IF($D18="",2026,$D18),IF(R$3=12,0.1*$G18,""),IF(2026-R$4&lt;$C18,"",R$4*$G18))</f>
        <v/>
      </c>
      <c r="S18" s="19" t="str">
        <f>IF(2026-S$3&gt;IF($D18="",2026,$D18),IF(S$3=12,0.1*$G18,""),IF(2026-S$4&lt;$C18,"",S$4*$G18))</f>
        <v/>
      </c>
      <c r="T18" s="19" t="str">
        <f>IF(2026-T$3&gt;IF($D18="",2026,$D18),IF(T$3=12,0.1*$G18,""),IF(2026-T$4&lt;$C18,"",T$4*$G18))</f>
        <v/>
      </c>
    </row>
    <row r="19" spans="1:20" ht="12" customHeight="1" x14ac:dyDescent="0.2">
      <c r="B19" s="16" t="s">
        <v>415</v>
      </c>
      <c r="C19" s="13">
        <v>1999</v>
      </c>
      <c r="D19" s="13">
        <v>2004</v>
      </c>
      <c r="E19" s="13">
        <v>3600</v>
      </c>
      <c r="F19" s="13">
        <v>463</v>
      </c>
      <c r="G19" s="21">
        <v>159500</v>
      </c>
      <c r="H19" s="23"/>
      <c r="I19" s="19">
        <f>IF(2026-I$3&gt;IF($D19="",2026,$D19),IF(I$3=12,0.1*$G19,""),IF(2026-I$4&lt;$C19,"",I$4*$G19))</f>
        <v>15950</v>
      </c>
      <c r="J19" s="19" t="str">
        <f>IF(2026-J$3&gt;IF($D19="",2026,$D19),IF(J$3=12,0.1*$G19,""),IF(2026-J$4&lt;$C19,"",J$4*$G19))</f>
        <v/>
      </c>
      <c r="K19" s="19" t="str">
        <f>IF(2026-K$3&gt;IF($D19="",2026,$D19),IF(K$3=12,0.1*$G19,""),IF(2026-K$4&lt;$C19,"",K$4*$G19))</f>
        <v/>
      </c>
      <c r="L19" s="19" t="str">
        <f>IF(2026-L$3&gt;IF($D19="",2026,$D19),IF(L$3=12,0.1*$G19,""),IF(2026-L$4&lt;$C19,"",L$4*$G19))</f>
        <v/>
      </c>
      <c r="M19" s="19" t="str">
        <f>IF(2026-M$3&gt;IF($D19="",2026,$D19),IF(M$3=12,0.1*$G19,""),IF(2026-M$4&lt;$C19,"",M$4*$G19))</f>
        <v/>
      </c>
      <c r="N19" s="19" t="str">
        <f>IF(2026-N$3&gt;IF($D19="",2026,$D19),IF(N$3=12,0.1*$G19,""),IF(2026-N$4&lt;$C19,"",N$4*$G19))</f>
        <v/>
      </c>
      <c r="O19" s="19" t="str">
        <f>IF(2026-O$3&gt;IF($D19="",2026,$D19),IF(O$3=12,0.1*$G19,""),IF(2026-O$4&lt;$C19,"",O$4*$G19))</f>
        <v/>
      </c>
      <c r="P19" s="19" t="str">
        <f>IF(2026-P$3&gt;IF($D19="",2026,$D19),IF(P$3=12,0.1*$G19,""),IF(2026-P$4&lt;$C19,"",P$4*$G19))</f>
        <v/>
      </c>
      <c r="Q19" s="19" t="str">
        <f>IF(2026-Q$3&gt;IF($D19="",2026,$D19),IF(Q$3=12,0.1*$G19,""),IF(2026-Q$4&lt;$C19,"",Q$4*$G19))</f>
        <v/>
      </c>
      <c r="R19" s="19" t="str">
        <f>IF(2026-R$3&gt;IF($D19="",2026,$D19),IF(R$3=12,0.1*$G19,""),IF(2026-R$4&lt;$C19,"",R$4*$G19))</f>
        <v/>
      </c>
      <c r="S19" s="19" t="str">
        <f>IF(2026-S$3&gt;IF($D19="",2026,$D19),IF(S$3=12,0.1*$G19,""),IF(2026-S$4&lt;$C19,"",S$4*$G19))</f>
        <v/>
      </c>
      <c r="T19" s="19" t="str">
        <f>IF(2026-T$3&gt;IF($D19="",2026,$D19),IF(T$3=12,0.1*$G19,""),IF(2026-T$4&lt;$C19,"",T$4*$G19))</f>
        <v/>
      </c>
    </row>
    <row r="20" spans="1:20" ht="12" customHeight="1" x14ac:dyDescent="0.2">
      <c r="B20" s="16" t="s">
        <v>415</v>
      </c>
      <c r="C20" s="13">
        <v>1999</v>
      </c>
      <c r="D20" s="13">
        <v>2004</v>
      </c>
      <c r="E20" s="13">
        <v>3600</v>
      </c>
      <c r="F20" s="13">
        <v>483</v>
      </c>
      <c r="G20" s="21">
        <v>167700</v>
      </c>
      <c r="H20" s="23"/>
      <c r="I20" s="19">
        <f>IF(2026-I$3&gt;IF($D20="",2026,$D20),IF(I$3=12,0.1*$G20,""),IF(2026-I$4&lt;$C20,"",I$4*$G20))</f>
        <v>16770</v>
      </c>
      <c r="J20" s="19" t="str">
        <f>IF(2026-J$3&gt;IF($D20="",2026,$D20),IF(J$3=12,0.1*$G20,""),IF(2026-J$4&lt;$C20,"",J$4*$G20))</f>
        <v/>
      </c>
      <c r="K20" s="19" t="str">
        <f>IF(2026-K$3&gt;IF($D20="",2026,$D20),IF(K$3=12,0.1*$G20,""),IF(2026-K$4&lt;$C20,"",K$4*$G20))</f>
        <v/>
      </c>
      <c r="L20" s="19" t="str">
        <f>IF(2026-L$3&gt;IF($D20="",2026,$D20),IF(L$3=12,0.1*$G20,""),IF(2026-L$4&lt;$C20,"",L$4*$G20))</f>
        <v/>
      </c>
      <c r="M20" s="19" t="str">
        <f>IF(2026-M$3&gt;IF($D20="",2026,$D20),IF(M$3=12,0.1*$G20,""),IF(2026-M$4&lt;$C20,"",M$4*$G20))</f>
        <v/>
      </c>
      <c r="N20" s="19" t="str">
        <f>IF(2026-N$3&gt;IF($D20="",2026,$D20),IF(N$3=12,0.1*$G20,""),IF(2026-N$4&lt;$C20,"",N$4*$G20))</f>
        <v/>
      </c>
      <c r="O20" s="19" t="str">
        <f>IF(2026-O$3&gt;IF($D20="",2026,$D20),IF(O$3=12,0.1*$G20,""),IF(2026-O$4&lt;$C20,"",O$4*$G20))</f>
        <v/>
      </c>
      <c r="P20" s="19" t="str">
        <f>IF(2026-P$3&gt;IF($D20="",2026,$D20),IF(P$3=12,0.1*$G20,""),IF(2026-P$4&lt;$C20,"",P$4*$G20))</f>
        <v/>
      </c>
      <c r="Q20" s="19" t="str">
        <f>IF(2026-Q$3&gt;IF($D20="",2026,$D20),IF(Q$3=12,0.1*$G20,""),IF(2026-Q$4&lt;$C20,"",Q$4*$G20))</f>
        <v/>
      </c>
      <c r="R20" s="19" t="str">
        <f>IF(2026-R$3&gt;IF($D20="",2026,$D20),IF(R$3=12,0.1*$G20,""),IF(2026-R$4&lt;$C20,"",R$4*$G20))</f>
        <v/>
      </c>
      <c r="S20" s="19" t="str">
        <f>IF(2026-S$3&gt;IF($D20="",2026,$D20),IF(S$3=12,0.1*$G20,""),IF(2026-S$4&lt;$C20,"",S$4*$G20))</f>
        <v/>
      </c>
      <c r="T20" s="19" t="str">
        <f>IF(2026-T$3&gt;IF($D20="",2026,$D20),IF(T$3=12,0.1*$G20,""),IF(2026-T$4&lt;$C20,"",T$4*$G20))</f>
        <v/>
      </c>
    </row>
    <row r="21" spans="1:20" ht="12" customHeight="1" x14ac:dyDescent="0.2">
      <c r="B21" s="16" t="s">
        <v>414</v>
      </c>
      <c r="C21" s="13">
        <v>2002</v>
      </c>
      <c r="D21" s="13">
        <v>2006</v>
      </c>
      <c r="E21" s="13">
        <v>3596</v>
      </c>
      <c r="F21" s="13">
        <v>320</v>
      </c>
      <c r="G21" s="21">
        <v>70900</v>
      </c>
      <c r="H21" s="23"/>
      <c r="I21" s="19">
        <f>IF(2026-I$3&gt;IF($D21="",2026,$D21),IF(I$3=12,0.1*$G21,""),IF(2026-I$4&lt;$C21,"",I$4*$G21))</f>
        <v>7090</v>
      </c>
      <c r="J21" s="19" t="str">
        <f>IF(2026-J$3&gt;IF($D21="",2026,$D21),IF(J$3=12,0.1*$G21,""),IF(2026-J$4&lt;$C21,"",J$4*$G21))</f>
        <v/>
      </c>
      <c r="K21" s="19" t="str">
        <f>IF(2026-K$3&gt;IF($D21="",2026,$D21),IF(K$3=12,0.1*$G21,""),IF(2026-K$4&lt;$C21,"",K$4*$G21))</f>
        <v/>
      </c>
      <c r="L21" s="19" t="str">
        <f>IF(2026-L$3&gt;IF($D21="",2026,$D21),IF(L$3=12,0.1*$G21,""),IF(2026-L$4&lt;$C21,"",L$4*$G21))</f>
        <v/>
      </c>
      <c r="M21" s="19" t="str">
        <f>IF(2026-M$3&gt;IF($D21="",2026,$D21),IF(M$3=12,0.1*$G21,""),IF(2026-M$4&lt;$C21,"",M$4*$G21))</f>
        <v/>
      </c>
      <c r="N21" s="19" t="str">
        <f>IF(2026-N$3&gt;IF($D21="",2026,$D21),IF(N$3=12,0.1*$G21,""),IF(2026-N$4&lt;$C21,"",N$4*$G21))</f>
        <v/>
      </c>
      <c r="O21" s="19" t="str">
        <f>IF(2026-O$3&gt;IF($D21="",2026,$D21),IF(O$3=12,0.1*$G21,""),IF(2026-O$4&lt;$C21,"",O$4*$G21))</f>
        <v/>
      </c>
      <c r="P21" s="19" t="str">
        <f>IF(2026-P$3&gt;IF($D21="",2026,$D21),IF(P$3=12,0.1*$G21,""),IF(2026-P$4&lt;$C21,"",P$4*$G21))</f>
        <v/>
      </c>
      <c r="Q21" s="19" t="str">
        <f>IF(2026-Q$3&gt;IF($D21="",2026,$D21),IF(Q$3=12,0.1*$G21,""),IF(2026-Q$4&lt;$C21,"",Q$4*$G21))</f>
        <v/>
      </c>
      <c r="R21" s="19" t="str">
        <f>IF(2026-R$3&gt;IF($D21="",2026,$D21),IF(R$3=12,0.1*$G21,""),IF(2026-R$4&lt;$C21,"",R$4*$G21))</f>
        <v/>
      </c>
      <c r="S21" s="19" t="str">
        <f>IF(2026-S$3&gt;IF($D21="",2026,$D21),IF(S$3=12,0.1*$G21,""),IF(2026-S$4&lt;$C21,"",S$4*$G21))</f>
        <v/>
      </c>
      <c r="T21" s="19" t="str">
        <f>IF(2026-T$3&gt;IF($D21="",2026,$D21),IF(T$3=12,0.1*$G21,""),IF(2026-T$4&lt;$C21,"",T$4*$G21))</f>
        <v/>
      </c>
    </row>
    <row r="22" spans="1:20" ht="12" customHeight="1" x14ac:dyDescent="0.2">
      <c r="B22" s="16" t="s">
        <v>413</v>
      </c>
      <c r="C22" s="13">
        <v>2004</v>
      </c>
      <c r="D22" s="13">
        <v>2009</v>
      </c>
      <c r="E22" s="13">
        <v>3596</v>
      </c>
      <c r="F22" s="13">
        <v>325</v>
      </c>
      <c r="G22" s="21">
        <v>78400</v>
      </c>
      <c r="H22" s="23"/>
      <c r="I22" s="19">
        <f>IF(2026-I$3&gt;IF($D22="",2026,$D22),IF(I$3=12,0.1*$G22,""),IF(2026-I$4&lt;$C22,"",I$4*$G22))</f>
        <v>7840</v>
      </c>
      <c r="J22" s="19" t="str">
        <f>IF(2026-J$3&gt;IF($D22="",2026,$D22),IF(J$3=12,0.1*$G22,""),IF(2026-J$4&lt;$C22,"",J$4*$G22))</f>
        <v/>
      </c>
      <c r="K22" s="19" t="str">
        <f>IF(2026-K$3&gt;IF($D22="",2026,$D22),IF(K$3=12,0.1*$G22,""),IF(2026-K$4&lt;$C22,"",K$4*$G22))</f>
        <v/>
      </c>
      <c r="L22" s="19" t="str">
        <f>IF(2026-L$3&gt;IF($D22="",2026,$D22),IF(L$3=12,0.1*$G22,""),IF(2026-L$4&lt;$C22,"",L$4*$G22))</f>
        <v/>
      </c>
      <c r="M22" s="19" t="str">
        <f>IF(2026-M$3&gt;IF($D22="",2026,$D22),IF(M$3=12,0.1*$G22,""),IF(2026-M$4&lt;$C22,"",M$4*$G22))</f>
        <v/>
      </c>
      <c r="N22" s="19" t="str">
        <f>IF(2026-N$3&gt;IF($D22="",2026,$D22),IF(N$3=12,0.1*$G22,""),IF(2026-N$4&lt;$C22,"",N$4*$G22))</f>
        <v/>
      </c>
      <c r="O22" s="19" t="str">
        <f>IF(2026-O$3&gt;IF($D22="",2026,$D22),IF(O$3=12,0.1*$G22,""),IF(2026-O$4&lt;$C22,"",O$4*$G22))</f>
        <v/>
      </c>
      <c r="P22" s="19" t="str">
        <f>IF(2026-P$3&gt;IF($D22="",2026,$D22),IF(P$3=12,0.1*$G22,""),IF(2026-P$4&lt;$C22,"",P$4*$G22))</f>
        <v/>
      </c>
      <c r="Q22" s="19" t="str">
        <f>IF(2026-Q$3&gt;IF($D22="",2026,$D22),IF(Q$3=12,0.1*$G22,""),IF(2026-Q$4&lt;$C22,"",Q$4*$G22))</f>
        <v/>
      </c>
      <c r="R22" s="19" t="str">
        <f>IF(2026-R$3&gt;IF($D22="",2026,$D22),IF(R$3=12,0.1*$G22,""),IF(2026-R$4&lt;$C22,"",R$4*$G22))</f>
        <v/>
      </c>
      <c r="S22" s="19" t="str">
        <f>IF(2026-S$3&gt;IF($D22="",2026,$D22),IF(S$3=12,0.1*$G22,""),IF(2026-S$4&lt;$C22,"",S$4*$G22))</f>
        <v/>
      </c>
      <c r="T22" s="19" t="str">
        <f>IF(2026-T$3&gt;IF($D22="",2026,$D22),IF(T$3=12,0.1*$G22,""),IF(2026-T$4&lt;$C22,"",T$4*$G22))</f>
        <v/>
      </c>
    </row>
    <row r="23" spans="1:20" ht="12" customHeight="1" x14ac:dyDescent="0.2">
      <c r="B23" s="16" t="s">
        <v>412</v>
      </c>
      <c r="C23" s="13">
        <v>2004</v>
      </c>
      <c r="D23" s="13">
        <v>2009</v>
      </c>
      <c r="E23" s="13">
        <v>3596</v>
      </c>
      <c r="F23" s="13">
        <v>325</v>
      </c>
      <c r="G23" s="21">
        <v>72500</v>
      </c>
      <c r="H23" s="23"/>
      <c r="I23" s="19">
        <f>IF(2026-I$3&gt;IF($D23="",2026,$D23),IF(I$3=12,0.1*$G23,""),IF(2026-I$4&lt;$C23,"",I$4*$G23))</f>
        <v>7250</v>
      </c>
      <c r="J23" s="19" t="str">
        <f>IF(2026-J$3&gt;IF($D23="",2026,$D23),IF(J$3=12,0.1*$G23,""),IF(2026-J$4&lt;$C23,"",J$4*$G23))</f>
        <v/>
      </c>
      <c r="K23" s="19" t="str">
        <f>IF(2026-K$3&gt;IF($D23="",2026,$D23),IF(K$3=12,0.1*$G23,""),IF(2026-K$4&lt;$C23,"",K$4*$G23))</f>
        <v/>
      </c>
      <c r="L23" s="19" t="str">
        <f>IF(2026-L$3&gt;IF($D23="",2026,$D23),IF(L$3=12,0.1*$G23,""),IF(2026-L$4&lt;$C23,"",L$4*$G23))</f>
        <v/>
      </c>
      <c r="M23" s="19" t="str">
        <f>IF(2026-M$3&gt;IF($D23="",2026,$D23),IF(M$3=12,0.1*$G23,""),IF(2026-M$4&lt;$C23,"",M$4*$G23))</f>
        <v/>
      </c>
      <c r="N23" s="19" t="str">
        <f>IF(2026-N$3&gt;IF($D23="",2026,$D23),IF(N$3=12,0.1*$G23,""),IF(2026-N$4&lt;$C23,"",N$4*$G23))</f>
        <v/>
      </c>
      <c r="O23" s="19" t="str">
        <f>IF(2026-O$3&gt;IF($D23="",2026,$D23),IF(O$3=12,0.1*$G23,""),IF(2026-O$4&lt;$C23,"",O$4*$G23))</f>
        <v/>
      </c>
      <c r="P23" s="19" t="str">
        <f>IF(2026-P$3&gt;IF($D23="",2026,$D23),IF(P$3=12,0.1*$G23,""),IF(2026-P$4&lt;$C23,"",P$4*$G23))</f>
        <v/>
      </c>
      <c r="Q23" s="19" t="str">
        <f>IF(2026-Q$3&gt;IF($D23="",2026,$D23),IF(Q$3=12,0.1*$G23,""),IF(2026-Q$4&lt;$C23,"",Q$4*$G23))</f>
        <v/>
      </c>
      <c r="R23" s="19" t="str">
        <f>IF(2026-R$3&gt;IF($D23="",2026,$D23),IF(R$3=12,0.1*$G23,""),IF(2026-R$4&lt;$C23,"",R$4*$G23))</f>
        <v/>
      </c>
      <c r="S23" s="19" t="str">
        <f>IF(2026-S$3&gt;IF($D23="",2026,$D23),IF(S$3=12,0.1*$G23,""),IF(2026-S$4&lt;$C23,"",S$4*$G23))</f>
        <v/>
      </c>
      <c r="T23" s="19" t="str">
        <f>IF(2026-T$3&gt;IF($D23="",2026,$D23),IF(T$3=12,0.1*$G23,""),IF(2026-T$4&lt;$C23,"",T$4*$G23))</f>
        <v/>
      </c>
    </row>
    <row r="24" spans="1:20" s="18" customFormat="1" ht="12" customHeight="1" x14ac:dyDescent="0.2">
      <c r="A24" s="17"/>
      <c r="B24" s="16" t="s">
        <v>411</v>
      </c>
      <c r="C24" s="13">
        <v>2004</v>
      </c>
      <c r="D24" s="13">
        <v>2009</v>
      </c>
      <c r="E24" s="13">
        <v>3824</v>
      </c>
      <c r="F24" s="13">
        <v>355</v>
      </c>
      <c r="G24" s="21">
        <v>87500</v>
      </c>
      <c r="H24" s="23"/>
      <c r="I24" s="19">
        <f>IF(2026-I$3&gt;IF($D24="",2026,$D24),IF(I$3=12,0.1*$G24,""),IF(2026-I$4&lt;$C24,"",I$4*$G24))</f>
        <v>8750</v>
      </c>
      <c r="J24" s="19" t="str">
        <f>IF(2026-J$3&gt;IF($D24="",2026,$D24),IF(J$3=12,0.1*$G24,""),IF(2026-J$4&lt;$C24,"",J$4*$G24))</f>
        <v/>
      </c>
      <c r="K24" s="19" t="str">
        <f>IF(2026-K$3&gt;IF($D24="",2026,$D24),IF(K$3=12,0.1*$G24,""),IF(2026-K$4&lt;$C24,"",K$4*$G24))</f>
        <v/>
      </c>
      <c r="L24" s="19" t="str">
        <f>IF(2026-L$3&gt;IF($D24="",2026,$D24),IF(L$3=12,0.1*$G24,""),IF(2026-L$4&lt;$C24,"",L$4*$G24))</f>
        <v/>
      </c>
      <c r="M24" s="19" t="str">
        <f>IF(2026-M$3&gt;IF($D24="",2026,$D24),IF(M$3=12,0.1*$G24,""),IF(2026-M$4&lt;$C24,"",M$4*$G24))</f>
        <v/>
      </c>
      <c r="N24" s="19" t="str">
        <f>IF(2026-N$3&gt;IF($D24="",2026,$D24),IF(N$3=12,0.1*$G24,""),IF(2026-N$4&lt;$C24,"",N$4*$G24))</f>
        <v/>
      </c>
      <c r="O24" s="19" t="str">
        <f>IF(2026-O$3&gt;IF($D24="",2026,$D24),IF(O$3=12,0.1*$G24,""),IF(2026-O$4&lt;$C24,"",O$4*$G24))</f>
        <v/>
      </c>
      <c r="P24" s="19" t="str">
        <f>IF(2026-P$3&gt;IF($D24="",2026,$D24),IF(P$3=12,0.1*$G24,""),IF(2026-P$4&lt;$C24,"",P$4*$G24))</f>
        <v/>
      </c>
      <c r="Q24" s="19" t="str">
        <f>IF(2026-Q$3&gt;IF($D24="",2026,$D24),IF(Q$3=12,0.1*$G24,""),IF(2026-Q$4&lt;$C24,"",Q$4*$G24))</f>
        <v/>
      </c>
      <c r="R24" s="19" t="str">
        <f>IF(2026-R$3&gt;IF($D24="",2026,$D24),IF(R$3=12,0.1*$G24,""),IF(2026-R$4&lt;$C24,"",R$4*$G24))</f>
        <v/>
      </c>
      <c r="S24" s="19" t="str">
        <f>IF(2026-S$3&gt;IF($D24="",2026,$D24),IF(S$3=12,0.1*$G24,""),IF(2026-S$4&lt;$C24,"",S$4*$G24))</f>
        <v/>
      </c>
      <c r="T24" s="19" t="str">
        <f>IF(2026-T$3&gt;IF($D24="",2026,$D24),IF(T$3=12,0.1*$G24,""),IF(2026-T$4&lt;$C24,"",T$4*$G24))</f>
        <v/>
      </c>
    </row>
    <row r="25" spans="1:20" s="18" customFormat="1" ht="12" customHeight="1" x14ac:dyDescent="0.2">
      <c r="A25" s="17"/>
      <c r="B25" s="16" t="s">
        <v>410</v>
      </c>
      <c r="C25" s="13">
        <v>2004</v>
      </c>
      <c r="D25" s="13">
        <v>2009</v>
      </c>
      <c r="E25" s="13">
        <v>3824</v>
      </c>
      <c r="F25" s="13">
        <v>355</v>
      </c>
      <c r="G25" s="21">
        <v>81400</v>
      </c>
      <c r="H25" s="20"/>
      <c r="I25" s="19">
        <f>IF(2026-I$3&gt;IF($D25="",2026,$D25),IF(I$3=12,0.1*$G25,""),IF(2026-I$4&lt;$C25,"",I$4*$G25))</f>
        <v>8140</v>
      </c>
      <c r="J25" s="19" t="str">
        <f>IF(2026-J$3&gt;IF($D25="",2026,$D25),IF(J$3=12,0.1*$G25,""),IF(2026-J$4&lt;$C25,"",J$4*$G25))</f>
        <v/>
      </c>
      <c r="K25" s="19" t="str">
        <f>IF(2026-K$3&gt;IF($D25="",2026,$D25),IF(K$3=12,0.1*$G25,""),IF(2026-K$4&lt;$C25,"",K$4*$G25))</f>
        <v/>
      </c>
      <c r="L25" s="19" t="str">
        <f>IF(2026-L$3&gt;IF($D25="",2026,$D25),IF(L$3=12,0.1*$G25,""),IF(2026-L$4&lt;$C25,"",L$4*$G25))</f>
        <v/>
      </c>
      <c r="M25" s="19" t="str">
        <f>IF(2026-M$3&gt;IF($D25="",2026,$D25),IF(M$3=12,0.1*$G25,""),IF(2026-M$4&lt;$C25,"",M$4*$G25))</f>
        <v/>
      </c>
      <c r="N25" s="19" t="str">
        <f>IF(2026-N$3&gt;IF($D25="",2026,$D25),IF(N$3=12,0.1*$G25,""),IF(2026-N$4&lt;$C25,"",N$4*$G25))</f>
        <v/>
      </c>
      <c r="O25" s="19" t="str">
        <f>IF(2026-O$3&gt;IF($D25="",2026,$D25),IF(O$3=12,0.1*$G25,""),IF(2026-O$4&lt;$C25,"",O$4*$G25))</f>
        <v/>
      </c>
      <c r="P25" s="19" t="str">
        <f>IF(2026-P$3&gt;IF($D25="",2026,$D25),IF(P$3=12,0.1*$G25,""),IF(2026-P$4&lt;$C25,"",P$4*$G25))</f>
        <v/>
      </c>
      <c r="Q25" s="19" t="str">
        <f>IF(2026-Q$3&gt;IF($D25="",2026,$D25),IF(Q$3=12,0.1*$G25,""),IF(2026-Q$4&lt;$C25,"",Q$4*$G25))</f>
        <v/>
      </c>
      <c r="R25" s="19" t="str">
        <f>IF(2026-R$3&gt;IF($D25="",2026,$D25),IF(R$3=12,0.1*$G25,""),IF(2026-R$4&lt;$C25,"",R$4*$G25))</f>
        <v/>
      </c>
      <c r="S25" s="19" t="str">
        <f>IF(2026-S$3&gt;IF($D25="",2026,$D25),IF(S$3=12,0.1*$G25,""),IF(2026-S$4&lt;$C25,"",S$4*$G25))</f>
        <v/>
      </c>
      <c r="T25" s="19" t="str">
        <f>IF(2026-T$3&gt;IF($D25="",2026,$D25),IF(T$3=12,0.1*$G25,""),IF(2026-T$4&lt;$C25,"",T$4*$G25))</f>
        <v/>
      </c>
    </row>
    <row r="26" spans="1:20" s="18" customFormat="1" ht="12" customHeight="1" x14ac:dyDescent="0.2">
      <c r="A26" s="17"/>
      <c r="B26" s="16" t="s">
        <v>409</v>
      </c>
      <c r="C26" s="13">
        <v>2004</v>
      </c>
      <c r="D26" s="13">
        <v>2009</v>
      </c>
      <c r="E26" s="13">
        <v>3600</v>
      </c>
      <c r="F26" s="13">
        <v>415</v>
      </c>
      <c r="G26" s="21">
        <v>95400</v>
      </c>
      <c r="H26" s="20"/>
      <c r="I26" s="19">
        <f>IF(2026-I$3&gt;IF($D26="",2026,$D26),IF(I$3=12,0.1*$G26,""),IF(2026-I$4&lt;$C26,"",I$4*$G26))</f>
        <v>9540</v>
      </c>
      <c r="J26" s="19" t="str">
        <f>IF(2026-J$3&gt;IF($D26="",2026,$D26),IF(J$3=12,0.1*$G26,""),IF(2026-J$4&lt;$C26,"",J$4*$G26))</f>
        <v/>
      </c>
      <c r="K26" s="19" t="str">
        <f>IF(2026-K$3&gt;IF($D26="",2026,$D26),IF(K$3=12,0.1*$G26,""),IF(2026-K$4&lt;$C26,"",K$4*$G26))</f>
        <v/>
      </c>
      <c r="L26" s="19" t="str">
        <f>IF(2026-L$3&gt;IF($D26="",2026,$D26),IF(L$3=12,0.1*$G26,""),IF(2026-L$4&lt;$C26,"",L$4*$G26))</f>
        <v/>
      </c>
      <c r="M26" s="19" t="str">
        <f>IF(2026-M$3&gt;IF($D26="",2026,$D26),IF(M$3=12,0.1*$G26,""),IF(2026-M$4&lt;$C26,"",M$4*$G26))</f>
        <v/>
      </c>
      <c r="N26" s="19" t="str">
        <f>IF(2026-N$3&gt;IF($D26="",2026,$D26),IF(N$3=12,0.1*$G26,""),IF(2026-N$4&lt;$C26,"",N$4*$G26))</f>
        <v/>
      </c>
      <c r="O26" s="19" t="str">
        <f>IF(2026-O$3&gt;IF($D26="",2026,$D26),IF(O$3=12,0.1*$G26,""),IF(2026-O$4&lt;$C26,"",O$4*$G26))</f>
        <v/>
      </c>
      <c r="P26" s="19" t="str">
        <f>IF(2026-P$3&gt;IF($D26="",2026,$D26),IF(P$3=12,0.1*$G26,""),IF(2026-P$4&lt;$C26,"",P$4*$G26))</f>
        <v/>
      </c>
      <c r="Q26" s="19" t="str">
        <f>IF(2026-Q$3&gt;IF($D26="",2026,$D26),IF(Q$3=12,0.1*$G26,""),IF(2026-Q$4&lt;$C26,"",Q$4*$G26))</f>
        <v/>
      </c>
      <c r="R26" s="19" t="str">
        <f>IF(2026-R$3&gt;IF($D26="",2026,$D26),IF(R$3=12,0.1*$G26,""),IF(2026-R$4&lt;$C26,"",R$4*$G26))</f>
        <v/>
      </c>
      <c r="S26" s="19" t="str">
        <f>IF(2026-S$3&gt;IF($D26="",2026,$D26),IF(S$3=12,0.1*$G26,""),IF(2026-S$4&lt;$C26,"",S$4*$G26))</f>
        <v/>
      </c>
      <c r="T26" s="19" t="str">
        <f>IF(2026-T$3&gt;IF($D26="",2026,$D26),IF(T$3=12,0.1*$G26,""),IF(2026-T$4&lt;$C26,"",T$4*$G26))</f>
        <v/>
      </c>
    </row>
    <row r="27" spans="1:20" s="18" customFormat="1" ht="12" customHeight="1" x14ac:dyDescent="0.2">
      <c r="A27" s="17"/>
      <c r="B27" s="16" t="s">
        <v>408</v>
      </c>
      <c r="C27" s="13">
        <v>2004</v>
      </c>
      <c r="D27" s="13">
        <v>2009</v>
      </c>
      <c r="E27" s="13">
        <v>3600</v>
      </c>
      <c r="F27" s="13">
        <v>415</v>
      </c>
      <c r="G27" s="21">
        <v>114300</v>
      </c>
      <c r="H27" s="20"/>
      <c r="I27" s="19">
        <f>IF(2026-I$3&gt;IF($D27="",2026,$D27),IF(I$3=12,0.1*$G27,""),IF(2026-I$4&lt;$C27,"",I$4*$G27))</f>
        <v>11430</v>
      </c>
      <c r="J27" s="19" t="str">
        <f>IF(2026-J$3&gt;IF($D27="",2026,$D27),IF(J$3=12,0.1*$G27,""),IF(2026-J$4&lt;$C27,"",J$4*$G27))</f>
        <v/>
      </c>
      <c r="K27" s="19" t="str">
        <f>IF(2026-K$3&gt;IF($D27="",2026,$D27),IF(K$3=12,0.1*$G27,""),IF(2026-K$4&lt;$C27,"",K$4*$G27))</f>
        <v/>
      </c>
      <c r="L27" s="19" t="str">
        <f>IF(2026-L$3&gt;IF($D27="",2026,$D27),IF(L$3=12,0.1*$G27,""),IF(2026-L$4&lt;$C27,"",L$4*$G27))</f>
        <v/>
      </c>
      <c r="M27" s="19" t="str">
        <f>IF(2026-M$3&gt;IF($D27="",2026,$D27),IF(M$3=12,0.1*$G27,""),IF(2026-M$4&lt;$C27,"",M$4*$G27))</f>
        <v/>
      </c>
      <c r="N27" s="19" t="str">
        <f>IF(2026-N$3&gt;IF($D27="",2026,$D27),IF(N$3=12,0.1*$G27,""),IF(2026-N$4&lt;$C27,"",N$4*$G27))</f>
        <v/>
      </c>
      <c r="O27" s="19" t="str">
        <f>IF(2026-O$3&gt;IF($D27="",2026,$D27),IF(O$3=12,0.1*$G27,""),IF(2026-O$4&lt;$C27,"",O$4*$G27))</f>
        <v/>
      </c>
      <c r="P27" s="19" t="str">
        <f>IF(2026-P$3&gt;IF($D27="",2026,$D27),IF(P$3=12,0.1*$G27,""),IF(2026-P$4&lt;$C27,"",P$4*$G27))</f>
        <v/>
      </c>
      <c r="Q27" s="19" t="str">
        <f>IF(2026-Q$3&gt;IF($D27="",2026,$D27),IF(Q$3=12,0.1*$G27,""),IF(2026-Q$4&lt;$C27,"",Q$4*$G27))</f>
        <v/>
      </c>
      <c r="R27" s="19" t="str">
        <f>IF(2026-R$3&gt;IF($D27="",2026,$D27),IF(R$3=12,0.1*$G27,""),IF(2026-R$4&lt;$C27,"",R$4*$G27))</f>
        <v/>
      </c>
      <c r="S27" s="19" t="str">
        <f>IF(2026-S$3&gt;IF($D27="",2026,$D27),IF(S$3=12,0.1*$G27,""),IF(2026-S$4&lt;$C27,"",S$4*$G27))</f>
        <v/>
      </c>
      <c r="T27" s="19" t="str">
        <f>IF(2026-T$3&gt;IF($D27="",2026,$D27),IF(T$3=12,0.1*$G27,""),IF(2026-T$4&lt;$C27,"",T$4*$G27))</f>
        <v/>
      </c>
    </row>
    <row r="28" spans="1:20" s="18" customFormat="1" ht="12" customHeight="1" x14ac:dyDescent="0.2">
      <c r="A28" s="17"/>
      <c r="B28" s="16" t="s">
        <v>407</v>
      </c>
      <c r="C28" s="13">
        <v>2004</v>
      </c>
      <c r="D28" s="13">
        <v>2009</v>
      </c>
      <c r="E28" s="13">
        <v>3600</v>
      </c>
      <c r="F28" s="13">
        <v>420</v>
      </c>
      <c r="G28" s="21">
        <v>109700</v>
      </c>
      <c r="H28" s="20"/>
      <c r="I28" s="19">
        <f>IF(2026-I$3&gt;IF($D28="",2026,$D28),IF(I$3=12,0.1*$G28,""),IF(2026-I$4&lt;$C28,"",I$4*$G28))</f>
        <v>10970</v>
      </c>
      <c r="J28" s="19" t="str">
        <f>IF(2026-J$3&gt;IF($D28="",2026,$D28),IF(J$3=12,0.1*$G28,""),IF(2026-J$4&lt;$C28,"",J$4*$G28))</f>
        <v/>
      </c>
      <c r="K28" s="19" t="str">
        <f>IF(2026-K$3&gt;IF($D28="",2026,$D28),IF(K$3=12,0.1*$G28,""),IF(2026-K$4&lt;$C28,"",K$4*$G28))</f>
        <v/>
      </c>
      <c r="L28" s="19" t="str">
        <f>IF(2026-L$3&gt;IF($D28="",2026,$D28),IF(L$3=12,0.1*$G28,""),IF(2026-L$4&lt;$C28,"",L$4*$G28))</f>
        <v/>
      </c>
      <c r="M28" s="19" t="str">
        <f>IF(2026-M$3&gt;IF($D28="",2026,$D28),IF(M$3=12,0.1*$G28,""),IF(2026-M$4&lt;$C28,"",M$4*$G28))</f>
        <v/>
      </c>
      <c r="N28" s="19" t="str">
        <f>IF(2026-N$3&gt;IF($D28="",2026,$D28),IF(N$3=12,0.1*$G28,""),IF(2026-N$4&lt;$C28,"",N$4*$G28))</f>
        <v/>
      </c>
      <c r="O28" s="19" t="str">
        <f>IF(2026-O$3&gt;IF($D28="",2026,$D28),IF(O$3=12,0.1*$G28,""),IF(2026-O$4&lt;$C28,"",O$4*$G28))</f>
        <v/>
      </c>
      <c r="P28" s="19" t="str">
        <f>IF(2026-P$3&gt;IF($D28="",2026,$D28),IF(P$3=12,0.1*$G28,""),IF(2026-P$4&lt;$C28,"",P$4*$G28))</f>
        <v/>
      </c>
      <c r="Q28" s="19" t="str">
        <f>IF(2026-Q$3&gt;IF($D28="",2026,$D28),IF(Q$3=12,0.1*$G28,""),IF(2026-Q$4&lt;$C28,"",Q$4*$G28))</f>
        <v/>
      </c>
      <c r="R28" s="19" t="str">
        <f>IF(2026-R$3&gt;IF($D28="",2026,$D28),IF(R$3=12,0.1*$G28,""),IF(2026-R$4&lt;$C28,"",R$4*$G28))</f>
        <v/>
      </c>
      <c r="S28" s="19" t="str">
        <f>IF(2026-S$3&gt;IF($D28="",2026,$D28),IF(S$3=12,0.1*$G28,""),IF(2026-S$4&lt;$C28,"",S$4*$G28))</f>
        <v/>
      </c>
      <c r="T28" s="19" t="str">
        <f>IF(2026-T$3&gt;IF($D28="",2026,$D28),IF(T$3=12,0.1*$G28,""),IF(2026-T$4&lt;$C28,"",T$4*$G28))</f>
        <v/>
      </c>
    </row>
    <row r="29" spans="1:20" s="18" customFormat="1" ht="12" customHeight="1" x14ac:dyDescent="0.2">
      <c r="A29" s="17"/>
      <c r="B29" s="16" t="s">
        <v>406</v>
      </c>
      <c r="C29" s="13">
        <v>2004</v>
      </c>
      <c r="D29" s="13">
        <v>2009</v>
      </c>
      <c r="E29" s="13">
        <v>3600</v>
      </c>
      <c r="F29" s="13">
        <v>450</v>
      </c>
      <c r="G29" s="21">
        <v>117900</v>
      </c>
      <c r="H29" s="20"/>
      <c r="I29" s="19">
        <f>IF(2026-I$3&gt;IF($D29="",2026,$D29),IF(I$3=12,0.1*$G29,""),IF(2026-I$4&lt;$C29,"",I$4*$G29))</f>
        <v>11790</v>
      </c>
      <c r="J29" s="19" t="str">
        <f>IF(2026-J$3&gt;IF($D29="",2026,$D29),IF(J$3=12,0.1*$G29,""),IF(2026-J$4&lt;$C29,"",J$4*$G29))</f>
        <v/>
      </c>
      <c r="K29" s="19" t="str">
        <f>IF(2026-K$3&gt;IF($D29="",2026,$D29),IF(K$3=12,0.1*$G29,""),IF(2026-K$4&lt;$C29,"",K$4*$G29))</f>
        <v/>
      </c>
      <c r="L29" s="19" t="str">
        <f>IF(2026-L$3&gt;IF($D29="",2026,$D29),IF(L$3=12,0.1*$G29,""),IF(2026-L$4&lt;$C29,"",L$4*$G29))</f>
        <v/>
      </c>
      <c r="M29" s="19" t="str">
        <f>IF(2026-M$3&gt;IF($D29="",2026,$D29),IF(M$3=12,0.1*$G29,""),IF(2026-M$4&lt;$C29,"",M$4*$G29))</f>
        <v/>
      </c>
      <c r="N29" s="19" t="str">
        <f>IF(2026-N$3&gt;IF($D29="",2026,$D29),IF(N$3=12,0.1*$G29,""),IF(2026-N$4&lt;$C29,"",N$4*$G29))</f>
        <v/>
      </c>
      <c r="O29" s="19" t="str">
        <f>IF(2026-O$3&gt;IF($D29="",2026,$D29),IF(O$3=12,0.1*$G29,""),IF(2026-O$4&lt;$C29,"",O$4*$G29))</f>
        <v/>
      </c>
      <c r="P29" s="19" t="str">
        <f>IF(2026-P$3&gt;IF($D29="",2026,$D29),IF(P$3=12,0.1*$G29,""),IF(2026-P$4&lt;$C29,"",P$4*$G29))</f>
        <v/>
      </c>
      <c r="Q29" s="19" t="str">
        <f>IF(2026-Q$3&gt;IF($D29="",2026,$D29),IF(Q$3=12,0.1*$G29,""),IF(2026-Q$4&lt;$C29,"",Q$4*$G29))</f>
        <v/>
      </c>
      <c r="R29" s="19" t="str">
        <f>IF(2026-R$3&gt;IF($D29="",2026,$D29),IF(R$3=12,0.1*$G29,""),IF(2026-R$4&lt;$C29,"",R$4*$G29))</f>
        <v/>
      </c>
      <c r="S29" s="19" t="str">
        <f>IF(2026-S$3&gt;IF($D29="",2026,$D29),IF(S$3=12,0.1*$G29,""),IF(2026-S$4&lt;$C29,"",S$4*$G29))</f>
        <v/>
      </c>
      <c r="T29" s="19" t="str">
        <f>IF(2026-T$3&gt;IF($D29="",2026,$D29),IF(T$3=12,0.1*$G29,""),IF(2026-T$4&lt;$C29,"",T$4*$G29))</f>
        <v/>
      </c>
    </row>
    <row r="30" spans="1:20" s="18" customFormat="1" ht="12" customHeight="1" x14ac:dyDescent="0.2">
      <c r="A30" s="17"/>
      <c r="B30" s="16" t="s">
        <v>405</v>
      </c>
      <c r="C30" s="13">
        <v>2004</v>
      </c>
      <c r="D30" s="13">
        <v>2009</v>
      </c>
      <c r="E30" s="13">
        <v>3600</v>
      </c>
      <c r="F30" s="13">
        <v>480</v>
      </c>
      <c r="G30" s="21">
        <v>117300</v>
      </c>
      <c r="H30" s="20"/>
      <c r="I30" s="19">
        <f>IF(2026-I$3&gt;IF($D30="",2026,$D30),IF(I$3=12,0.1*$G30,""),IF(2026-I$4&lt;$C30,"",I$4*$G30))</f>
        <v>11730</v>
      </c>
      <c r="J30" s="19" t="str">
        <f>IF(2026-J$3&gt;IF($D30="",2026,$D30),IF(J$3=12,0.1*$G30,""),IF(2026-J$4&lt;$C30,"",J$4*$G30))</f>
        <v/>
      </c>
      <c r="K30" s="19" t="str">
        <f>IF(2026-K$3&gt;IF($D30="",2026,$D30),IF(K$3=12,0.1*$G30,""),IF(2026-K$4&lt;$C30,"",K$4*$G30))</f>
        <v/>
      </c>
      <c r="L30" s="19" t="str">
        <f>IF(2026-L$3&gt;IF($D30="",2026,$D30),IF(L$3=12,0.1*$G30,""),IF(2026-L$4&lt;$C30,"",L$4*$G30))</f>
        <v/>
      </c>
      <c r="M30" s="19" t="str">
        <f>IF(2026-M$3&gt;IF($D30="",2026,$D30),IF(M$3=12,0.1*$G30,""),IF(2026-M$4&lt;$C30,"",M$4*$G30))</f>
        <v/>
      </c>
      <c r="N30" s="19" t="str">
        <f>IF(2026-N$3&gt;IF($D30="",2026,$D30),IF(N$3=12,0.1*$G30,""),IF(2026-N$4&lt;$C30,"",N$4*$G30))</f>
        <v/>
      </c>
      <c r="O30" s="19" t="str">
        <f>IF(2026-O$3&gt;IF($D30="",2026,$D30),IF(O$3=12,0.1*$G30,""),IF(2026-O$4&lt;$C30,"",O$4*$G30))</f>
        <v/>
      </c>
      <c r="P30" s="19" t="str">
        <f>IF(2026-P$3&gt;IF($D30="",2026,$D30),IF(P$3=12,0.1*$G30,""),IF(2026-P$4&lt;$C30,"",P$4*$G30))</f>
        <v/>
      </c>
      <c r="Q30" s="19" t="str">
        <f>IF(2026-Q$3&gt;IF($D30="",2026,$D30),IF(Q$3=12,0.1*$G30,""),IF(2026-Q$4&lt;$C30,"",Q$4*$G30))</f>
        <v/>
      </c>
      <c r="R30" s="19" t="str">
        <f>IF(2026-R$3&gt;IF($D30="",2026,$D30),IF(R$3=12,0.1*$G30,""),IF(2026-R$4&lt;$C30,"",R$4*$G30))</f>
        <v/>
      </c>
      <c r="S30" s="19" t="str">
        <f>IF(2026-S$3&gt;IF($D30="",2026,$D30),IF(S$3=12,0.1*$G30,""),IF(2026-S$4&lt;$C30,"",S$4*$G30))</f>
        <v/>
      </c>
      <c r="T30" s="19" t="str">
        <f>IF(2026-T$3&gt;IF($D30="",2026,$D30),IF(T$3=12,0.1*$G30,""),IF(2026-T$4&lt;$C30,"",T$4*$G30))</f>
        <v/>
      </c>
    </row>
    <row r="31" spans="1:20" s="18" customFormat="1" ht="12" customHeight="1" x14ac:dyDescent="0.2">
      <c r="A31" s="17"/>
      <c r="B31" s="16" t="s">
        <v>404</v>
      </c>
      <c r="C31" s="13">
        <v>2004</v>
      </c>
      <c r="D31" s="13">
        <v>2009</v>
      </c>
      <c r="E31" s="13">
        <v>3600</v>
      </c>
      <c r="F31" s="13">
        <v>530</v>
      </c>
      <c r="G31" s="21">
        <v>166300</v>
      </c>
      <c r="H31" s="20"/>
      <c r="I31" s="19">
        <f>IF(2026-I$3&gt;IF($D31="",2026,$D31),IF(I$3=12,0.1*$G31,""),IF(2026-I$4&lt;$C31,"",I$4*$G31))</f>
        <v>16630</v>
      </c>
      <c r="J31" s="19" t="str">
        <f>IF(2026-J$3&gt;IF($D31="",2026,$D31),IF(J$3=12,0.1*$G31,""),IF(2026-J$4&lt;$C31,"",J$4*$G31))</f>
        <v/>
      </c>
      <c r="K31" s="19" t="str">
        <f>IF(2026-K$3&gt;IF($D31="",2026,$D31),IF(K$3=12,0.1*$G31,""),IF(2026-K$4&lt;$C31,"",K$4*$G31))</f>
        <v/>
      </c>
      <c r="L31" s="19" t="str">
        <f>IF(2026-L$3&gt;IF($D31="",2026,$D31),IF(L$3=12,0.1*$G31,""),IF(2026-L$4&lt;$C31,"",L$4*$G31))</f>
        <v/>
      </c>
      <c r="M31" s="19" t="str">
        <f>IF(2026-M$3&gt;IF($D31="",2026,$D31),IF(M$3=12,0.1*$G31,""),IF(2026-M$4&lt;$C31,"",M$4*$G31))</f>
        <v/>
      </c>
      <c r="N31" s="19" t="str">
        <f>IF(2026-N$3&gt;IF($D31="",2026,$D31),IF(N$3=12,0.1*$G31,""),IF(2026-N$4&lt;$C31,"",N$4*$G31))</f>
        <v/>
      </c>
      <c r="O31" s="19" t="str">
        <f>IF(2026-O$3&gt;IF($D31="",2026,$D31),IF(O$3=12,0.1*$G31,""),IF(2026-O$4&lt;$C31,"",O$4*$G31))</f>
        <v/>
      </c>
      <c r="P31" s="19" t="str">
        <f>IF(2026-P$3&gt;IF($D31="",2026,$D31),IF(P$3=12,0.1*$G31,""),IF(2026-P$4&lt;$C31,"",P$4*$G31))</f>
        <v/>
      </c>
      <c r="Q31" s="19" t="str">
        <f>IF(2026-Q$3&gt;IF($D31="",2026,$D31),IF(Q$3=12,0.1*$G31,""),IF(2026-Q$4&lt;$C31,"",Q$4*$G31))</f>
        <v/>
      </c>
      <c r="R31" s="19" t="str">
        <f>IF(2026-R$3&gt;IF($D31="",2026,$D31),IF(R$3=12,0.1*$G31,""),IF(2026-R$4&lt;$C31,"",R$4*$G31))</f>
        <v/>
      </c>
      <c r="S31" s="19" t="str">
        <f>IF(2026-S$3&gt;IF($D31="",2026,$D31),IF(S$3=12,0.1*$G31,""),IF(2026-S$4&lt;$C31,"",S$4*$G31))</f>
        <v/>
      </c>
      <c r="T31" s="19" t="str">
        <f>IF(2026-T$3&gt;IF($D31="",2026,$D31),IF(T$3=12,0.1*$G31,""),IF(2026-T$4&lt;$C31,"",T$4*$G31))</f>
        <v/>
      </c>
    </row>
    <row r="32" spans="1:20" s="18" customFormat="1" ht="12" customHeight="1" x14ac:dyDescent="0.2">
      <c r="A32" s="17"/>
      <c r="B32" s="16" t="s">
        <v>403</v>
      </c>
      <c r="C32" s="13">
        <v>2005</v>
      </c>
      <c r="D32" s="13">
        <v>2009</v>
      </c>
      <c r="E32" s="13">
        <v>3596</v>
      </c>
      <c r="F32" s="13">
        <v>325</v>
      </c>
      <c r="G32" s="21">
        <v>87400</v>
      </c>
      <c r="H32" s="20"/>
      <c r="I32" s="19">
        <f>IF(2026-I$3&gt;IF($D32="",2026,$D32),IF(I$3=12,0.1*$G32,""),IF(2026-I$4&lt;$C32,"",I$4*$G32))</f>
        <v>8740</v>
      </c>
      <c r="J32" s="19" t="str">
        <f>IF(2026-J$3&gt;IF($D32="",2026,$D32),IF(J$3=12,0.1*$G32,""),IF(2026-J$4&lt;$C32,"",J$4*$G32))</f>
        <v/>
      </c>
      <c r="K32" s="19" t="str">
        <f>IF(2026-K$3&gt;IF($D32="",2026,$D32),IF(K$3=12,0.1*$G32,""),IF(2026-K$4&lt;$C32,"",K$4*$G32))</f>
        <v/>
      </c>
      <c r="L32" s="19" t="str">
        <f>IF(2026-L$3&gt;IF($D32="",2026,$D32),IF(L$3=12,0.1*$G32,""),IF(2026-L$4&lt;$C32,"",L$4*$G32))</f>
        <v/>
      </c>
      <c r="M32" s="19" t="str">
        <f>IF(2026-M$3&gt;IF($D32="",2026,$D32),IF(M$3=12,0.1*$G32,""),IF(2026-M$4&lt;$C32,"",M$4*$G32))</f>
        <v/>
      </c>
      <c r="N32" s="19" t="str">
        <f>IF(2026-N$3&gt;IF($D32="",2026,$D32),IF(N$3=12,0.1*$G32,""),IF(2026-N$4&lt;$C32,"",N$4*$G32))</f>
        <v/>
      </c>
      <c r="O32" s="19" t="str">
        <f>IF(2026-O$3&gt;IF($D32="",2026,$D32),IF(O$3=12,0.1*$G32,""),IF(2026-O$4&lt;$C32,"",O$4*$G32))</f>
        <v/>
      </c>
      <c r="P32" s="19" t="str">
        <f>IF(2026-P$3&gt;IF($D32="",2026,$D32),IF(P$3=12,0.1*$G32,""),IF(2026-P$4&lt;$C32,"",P$4*$G32))</f>
        <v/>
      </c>
      <c r="Q32" s="19" t="str">
        <f>IF(2026-Q$3&gt;IF($D32="",2026,$D32),IF(Q$3=12,0.1*$G32,""),IF(2026-Q$4&lt;$C32,"",Q$4*$G32))</f>
        <v/>
      </c>
      <c r="R32" s="19" t="str">
        <f>IF(2026-R$3&gt;IF($D32="",2026,$D32),IF(R$3=12,0.1*$G32,""),IF(2026-R$4&lt;$C32,"",R$4*$G32))</f>
        <v/>
      </c>
      <c r="S32" s="19" t="str">
        <f>IF(2026-S$3&gt;IF($D32="",2026,$D32),IF(S$3=12,0.1*$G32,""),IF(2026-S$4&lt;$C32,"",S$4*$G32))</f>
        <v/>
      </c>
      <c r="T32" s="19" t="str">
        <f>IF(2026-T$3&gt;IF($D32="",2026,$D32),IF(T$3=12,0.1*$G32,""),IF(2026-T$4&lt;$C32,"",T$4*$G32))</f>
        <v/>
      </c>
    </row>
    <row r="33" spans="1:20" s="18" customFormat="1" ht="12" customHeight="1" x14ac:dyDescent="0.2">
      <c r="A33" s="17"/>
      <c r="B33" s="16" t="s">
        <v>402</v>
      </c>
      <c r="C33" s="13">
        <v>2005</v>
      </c>
      <c r="D33" s="13">
        <v>2009</v>
      </c>
      <c r="E33" s="13">
        <v>3596</v>
      </c>
      <c r="F33" s="13">
        <v>325</v>
      </c>
      <c r="G33" s="21">
        <v>81400</v>
      </c>
      <c r="H33" s="20"/>
      <c r="I33" s="19">
        <f>IF(2026-I$3&gt;IF($D33="",2026,$D33),IF(I$3=12,0.1*$G33,""),IF(2026-I$4&lt;$C33,"",I$4*$G33))</f>
        <v>8140</v>
      </c>
      <c r="J33" s="19" t="str">
        <f>IF(2026-J$3&gt;IF($D33="",2026,$D33),IF(J$3=12,0.1*$G33,""),IF(2026-J$4&lt;$C33,"",J$4*$G33))</f>
        <v/>
      </c>
      <c r="K33" s="19" t="str">
        <f>IF(2026-K$3&gt;IF($D33="",2026,$D33),IF(K$3=12,0.1*$G33,""),IF(2026-K$4&lt;$C33,"",K$4*$G33))</f>
        <v/>
      </c>
      <c r="L33" s="19" t="str">
        <f>IF(2026-L$3&gt;IF($D33="",2026,$D33),IF(L$3=12,0.1*$G33,""),IF(2026-L$4&lt;$C33,"",L$4*$G33))</f>
        <v/>
      </c>
      <c r="M33" s="19" t="str">
        <f>IF(2026-M$3&gt;IF($D33="",2026,$D33),IF(M$3=12,0.1*$G33,""),IF(2026-M$4&lt;$C33,"",M$4*$G33))</f>
        <v/>
      </c>
      <c r="N33" s="19" t="str">
        <f>IF(2026-N$3&gt;IF($D33="",2026,$D33),IF(N$3=12,0.1*$G33,""),IF(2026-N$4&lt;$C33,"",N$4*$G33))</f>
        <v/>
      </c>
      <c r="O33" s="19" t="str">
        <f>IF(2026-O$3&gt;IF($D33="",2026,$D33),IF(O$3=12,0.1*$G33,""),IF(2026-O$4&lt;$C33,"",O$4*$G33))</f>
        <v/>
      </c>
      <c r="P33" s="19" t="str">
        <f>IF(2026-P$3&gt;IF($D33="",2026,$D33),IF(P$3=12,0.1*$G33,""),IF(2026-P$4&lt;$C33,"",P$4*$G33))</f>
        <v/>
      </c>
      <c r="Q33" s="19" t="str">
        <f>IF(2026-Q$3&gt;IF($D33="",2026,$D33),IF(Q$3=12,0.1*$G33,""),IF(2026-Q$4&lt;$C33,"",Q$4*$G33))</f>
        <v/>
      </c>
      <c r="R33" s="19" t="str">
        <f>IF(2026-R$3&gt;IF($D33="",2026,$D33),IF(R$3=12,0.1*$G33,""),IF(2026-R$4&lt;$C33,"",R$4*$G33))</f>
        <v/>
      </c>
      <c r="S33" s="19" t="str">
        <f>IF(2026-S$3&gt;IF($D33="",2026,$D33),IF(S$3=12,0.1*$G33,""),IF(2026-S$4&lt;$C33,"",S$4*$G33))</f>
        <v/>
      </c>
      <c r="T33" s="19" t="str">
        <f>IF(2026-T$3&gt;IF($D33="",2026,$D33),IF(T$3=12,0.1*$G33,""),IF(2026-T$4&lt;$C33,"",T$4*$G33))</f>
        <v/>
      </c>
    </row>
    <row r="34" spans="1:20" s="18" customFormat="1" ht="12" customHeight="1" x14ac:dyDescent="0.2">
      <c r="A34" s="17"/>
      <c r="B34" s="16" t="s">
        <v>401</v>
      </c>
      <c r="C34" s="13">
        <v>2005</v>
      </c>
      <c r="D34" s="13">
        <v>2009</v>
      </c>
      <c r="E34" s="13">
        <v>3824</v>
      </c>
      <c r="F34" s="13">
        <v>355</v>
      </c>
      <c r="G34" s="21">
        <v>92300</v>
      </c>
      <c r="H34" s="20"/>
      <c r="I34" s="19">
        <f>IF(2026-I$3&gt;IF($D34="",2026,$D34),IF(I$3=12,0.1*$G34,""),IF(2026-I$4&lt;$C34,"",I$4*$G34))</f>
        <v>9230</v>
      </c>
      <c r="J34" s="19" t="str">
        <f>IF(2026-J$3&gt;IF($D34="",2026,$D34),IF(J$3=12,0.1*$G34,""),IF(2026-J$4&lt;$C34,"",J$4*$G34))</f>
        <v/>
      </c>
      <c r="K34" s="19" t="str">
        <f>IF(2026-K$3&gt;IF($D34="",2026,$D34),IF(K$3=12,0.1*$G34,""),IF(2026-K$4&lt;$C34,"",K$4*$G34))</f>
        <v/>
      </c>
      <c r="L34" s="19" t="str">
        <f>IF(2026-L$3&gt;IF($D34="",2026,$D34),IF(L$3=12,0.1*$G34,""),IF(2026-L$4&lt;$C34,"",L$4*$G34))</f>
        <v/>
      </c>
      <c r="M34" s="19" t="str">
        <f>IF(2026-M$3&gt;IF($D34="",2026,$D34),IF(M$3=12,0.1*$G34,""),IF(2026-M$4&lt;$C34,"",M$4*$G34))</f>
        <v/>
      </c>
      <c r="N34" s="19" t="str">
        <f>IF(2026-N$3&gt;IF($D34="",2026,$D34),IF(N$3=12,0.1*$G34,""),IF(2026-N$4&lt;$C34,"",N$4*$G34))</f>
        <v/>
      </c>
      <c r="O34" s="19" t="str">
        <f>IF(2026-O$3&gt;IF($D34="",2026,$D34),IF(O$3=12,0.1*$G34,""),IF(2026-O$4&lt;$C34,"",O$4*$G34))</f>
        <v/>
      </c>
      <c r="P34" s="19" t="str">
        <f>IF(2026-P$3&gt;IF($D34="",2026,$D34),IF(P$3=12,0.1*$G34,""),IF(2026-P$4&lt;$C34,"",P$4*$G34))</f>
        <v/>
      </c>
      <c r="Q34" s="19" t="str">
        <f>IF(2026-Q$3&gt;IF($D34="",2026,$D34),IF(Q$3=12,0.1*$G34,""),IF(2026-Q$4&lt;$C34,"",Q$4*$G34))</f>
        <v/>
      </c>
      <c r="R34" s="19" t="str">
        <f>IF(2026-R$3&gt;IF($D34="",2026,$D34),IF(R$3=12,0.1*$G34,""),IF(2026-R$4&lt;$C34,"",R$4*$G34))</f>
        <v/>
      </c>
      <c r="S34" s="19" t="str">
        <f>IF(2026-S$3&gt;IF($D34="",2026,$D34),IF(S$3=12,0.1*$G34,""),IF(2026-S$4&lt;$C34,"",S$4*$G34))</f>
        <v/>
      </c>
      <c r="T34" s="19" t="str">
        <f>IF(2026-T$3&gt;IF($D34="",2026,$D34),IF(T$3=12,0.1*$G34,""),IF(2026-T$4&lt;$C34,"",T$4*$G34))</f>
        <v/>
      </c>
    </row>
    <row r="35" spans="1:20" s="18" customFormat="1" ht="12" customHeight="1" x14ac:dyDescent="0.2">
      <c r="A35" s="17"/>
      <c r="B35" s="16" t="s">
        <v>400</v>
      </c>
      <c r="C35" s="13">
        <v>2005</v>
      </c>
      <c r="D35" s="13">
        <v>2009</v>
      </c>
      <c r="E35" s="13">
        <v>3824</v>
      </c>
      <c r="F35" s="13">
        <v>355</v>
      </c>
      <c r="G35" s="21">
        <v>91300</v>
      </c>
      <c r="H35" s="20"/>
      <c r="I35" s="19">
        <f>IF(2026-I$3&gt;IF($D35="",2026,$D35),IF(I$3=12,0.1*$G35,""),IF(2026-I$4&lt;$C35,"",I$4*$G35))</f>
        <v>9130</v>
      </c>
      <c r="J35" s="19" t="str">
        <f>IF(2026-J$3&gt;IF($D35="",2026,$D35),IF(J$3=12,0.1*$G35,""),IF(2026-J$4&lt;$C35,"",J$4*$G35))</f>
        <v/>
      </c>
      <c r="K35" s="19" t="str">
        <f>IF(2026-K$3&gt;IF($D35="",2026,$D35),IF(K$3=12,0.1*$G35,""),IF(2026-K$4&lt;$C35,"",K$4*$G35))</f>
        <v/>
      </c>
      <c r="L35" s="19" t="str">
        <f>IF(2026-L$3&gt;IF($D35="",2026,$D35),IF(L$3=12,0.1*$G35,""),IF(2026-L$4&lt;$C35,"",L$4*$G35))</f>
        <v/>
      </c>
      <c r="M35" s="19" t="str">
        <f>IF(2026-M$3&gt;IF($D35="",2026,$D35),IF(M$3=12,0.1*$G35,""),IF(2026-M$4&lt;$C35,"",M$4*$G35))</f>
        <v/>
      </c>
      <c r="N35" s="19" t="str">
        <f>IF(2026-N$3&gt;IF($D35="",2026,$D35),IF(N$3=12,0.1*$G35,""),IF(2026-N$4&lt;$C35,"",N$4*$G35))</f>
        <v/>
      </c>
      <c r="O35" s="19" t="str">
        <f>IF(2026-O$3&gt;IF($D35="",2026,$D35),IF(O$3=12,0.1*$G35,""),IF(2026-O$4&lt;$C35,"",O$4*$G35))</f>
        <v/>
      </c>
      <c r="P35" s="19" t="str">
        <f>IF(2026-P$3&gt;IF($D35="",2026,$D35),IF(P$3=12,0.1*$G35,""),IF(2026-P$4&lt;$C35,"",P$4*$G35))</f>
        <v/>
      </c>
      <c r="Q35" s="19" t="str">
        <f>IF(2026-Q$3&gt;IF($D35="",2026,$D35),IF(Q$3=12,0.1*$G35,""),IF(2026-Q$4&lt;$C35,"",Q$4*$G35))</f>
        <v/>
      </c>
      <c r="R35" s="19" t="str">
        <f>IF(2026-R$3&gt;IF($D35="",2026,$D35),IF(R$3=12,0.1*$G35,""),IF(2026-R$4&lt;$C35,"",R$4*$G35))</f>
        <v/>
      </c>
      <c r="S35" s="19" t="str">
        <f>IF(2026-S$3&gt;IF($D35="",2026,$D35),IF(S$3=12,0.1*$G35,""),IF(2026-S$4&lt;$C35,"",S$4*$G35))</f>
        <v/>
      </c>
      <c r="T35" s="19" t="str">
        <f>IF(2026-T$3&gt;IF($D35="",2026,$D35),IF(T$3=12,0.1*$G35,""),IF(2026-T$4&lt;$C35,"",T$4*$G35))</f>
        <v/>
      </c>
    </row>
    <row r="36" spans="1:20" s="18" customFormat="1" ht="12" customHeight="1" x14ac:dyDescent="0.2">
      <c r="A36" s="17"/>
      <c r="B36" s="16" t="s">
        <v>399</v>
      </c>
      <c r="C36" s="13">
        <v>2005</v>
      </c>
      <c r="D36" s="13">
        <v>2009</v>
      </c>
      <c r="E36" s="13">
        <v>3600</v>
      </c>
      <c r="F36" s="13">
        <v>480</v>
      </c>
      <c r="G36" s="21">
        <v>132400</v>
      </c>
      <c r="H36" s="20"/>
      <c r="I36" s="19">
        <f>IF(2026-I$3&gt;IF($D36="",2026,$D36),IF(I$3=12,0.1*$G36,""),IF(2026-I$4&lt;$C36,"",I$4*$G36))</f>
        <v>13240</v>
      </c>
      <c r="J36" s="19" t="str">
        <f>IF(2026-J$3&gt;IF($D36="",2026,$D36),IF(J$3=12,0.1*$G36,""),IF(2026-J$4&lt;$C36,"",J$4*$G36))</f>
        <v/>
      </c>
      <c r="K36" s="19" t="str">
        <f>IF(2026-K$3&gt;IF($D36="",2026,$D36),IF(K$3=12,0.1*$G36,""),IF(2026-K$4&lt;$C36,"",K$4*$G36))</f>
        <v/>
      </c>
      <c r="L36" s="19" t="str">
        <f>IF(2026-L$3&gt;IF($D36="",2026,$D36),IF(L$3=12,0.1*$G36,""),IF(2026-L$4&lt;$C36,"",L$4*$G36))</f>
        <v/>
      </c>
      <c r="M36" s="19" t="str">
        <f>IF(2026-M$3&gt;IF($D36="",2026,$D36),IF(M$3=12,0.1*$G36,""),IF(2026-M$4&lt;$C36,"",M$4*$G36))</f>
        <v/>
      </c>
      <c r="N36" s="19" t="str">
        <f>IF(2026-N$3&gt;IF($D36="",2026,$D36),IF(N$3=12,0.1*$G36,""),IF(2026-N$4&lt;$C36,"",N$4*$G36))</f>
        <v/>
      </c>
      <c r="O36" s="19" t="str">
        <f>IF(2026-O$3&gt;IF($D36="",2026,$D36),IF(O$3=12,0.1*$G36,""),IF(2026-O$4&lt;$C36,"",O$4*$G36))</f>
        <v/>
      </c>
      <c r="P36" s="19" t="str">
        <f>IF(2026-P$3&gt;IF($D36="",2026,$D36),IF(P$3=12,0.1*$G36,""),IF(2026-P$4&lt;$C36,"",P$4*$G36))</f>
        <v/>
      </c>
      <c r="Q36" s="19" t="str">
        <f>IF(2026-Q$3&gt;IF($D36="",2026,$D36),IF(Q$3=12,0.1*$G36,""),IF(2026-Q$4&lt;$C36,"",Q$4*$G36))</f>
        <v/>
      </c>
      <c r="R36" s="19" t="str">
        <f>IF(2026-R$3&gt;IF($D36="",2026,$D36),IF(R$3=12,0.1*$G36,""),IF(2026-R$4&lt;$C36,"",R$4*$G36))</f>
        <v/>
      </c>
      <c r="S36" s="19" t="str">
        <f>IF(2026-S$3&gt;IF($D36="",2026,$D36),IF(S$3=12,0.1*$G36,""),IF(2026-S$4&lt;$C36,"",S$4*$G36))</f>
        <v/>
      </c>
      <c r="T36" s="19" t="str">
        <f>IF(2026-T$3&gt;IF($D36="",2026,$D36),IF(T$3=12,0.1*$G36,""),IF(2026-T$4&lt;$C36,"",T$4*$G36))</f>
        <v/>
      </c>
    </row>
    <row r="37" spans="1:20" s="18" customFormat="1" ht="12" customHeight="1" x14ac:dyDescent="0.2">
      <c r="A37" s="17"/>
      <c r="B37" s="16" t="s">
        <v>398</v>
      </c>
      <c r="C37" s="13">
        <v>2006</v>
      </c>
      <c r="D37" s="13">
        <v>2008</v>
      </c>
      <c r="E37" s="13">
        <v>3596</v>
      </c>
      <c r="F37" s="13">
        <v>325</v>
      </c>
      <c r="G37" s="21">
        <v>81500</v>
      </c>
      <c r="H37" s="20"/>
      <c r="I37" s="19">
        <f>IF(2026-I$3&gt;IF($D37="",2026,$D37),IF(I$3=12,0.1*$G37,""),IF(2026-I$4&lt;$C37,"",I$4*$G37))</f>
        <v>8150</v>
      </c>
      <c r="J37" s="19" t="str">
        <f>IF(2026-J$3&gt;IF($D37="",2026,$D37),IF(J$3=12,0.1*$G37,""),IF(2026-J$4&lt;$C37,"",J$4*$G37))</f>
        <v/>
      </c>
      <c r="K37" s="19" t="str">
        <f>IF(2026-K$3&gt;IF($D37="",2026,$D37),IF(K$3=12,0.1*$G37,""),IF(2026-K$4&lt;$C37,"",K$4*$G37))</f>
        <v/>
      </c>
      <c r="L37" s="19" t="str">
        <f>IF(2026-L$3&gt;IF($D37="",2026,$D37),IF(L$3=12,0.1*$G37,""),IF(2026-L$4&lt;$C37,"",L$4*$G37))</f>
        <v/>
      </c>
      <c r="M37" s="19" t="str">
        <f>IF(2026-M$3&gt;IF($D37="",2026,$D37),IF(M$3=12,0.1*$G37,""),IF(2026-M$4&lt;$C37,"",M$4*$G37))</f>
        <v/>
      </c>
      <c r="N37" s="19" t="str">
        <f>IF(2026-N$3&gt;IF($D37="",2026,$D37),IF(N$3=12,0.1*$G37,""),IF(2026-N$4&lt;$C37,"",N$4*$G37))</f>
        <v/>
      </c>
      <c r="O37" s="19" t="str">
        <f>IF(2026-O$3&gt;IF($D37="",2026,$D37),IF(O$3=12,0.1*$G37,""),IF(2026-O$4&lt;$C37,"",O$4*$G37))</f>
        <v/>
      </c>
      <c r="P37" s="19" t="str">
        <f>IF(2026-P$3&gt;IF($D37="",2026,$D37),IF(P$3=12,0.1*$G37,""),IF(2026-P$4&lt;$C37,"",P$4*$G37))</f>
        <v/>
      </c>
      <c r="Q37" s="19" t="str">
        <f>IF(2026-Q$3&gt;IF($D37="",2026,$D37),IF(Q$3=12,0.1*$G37,""),IF(2026-Q$4&lt;$C37,"",Q$4*$G37))</f>
        <v/>
      </c>
      <c r="R37" s="19" t="str">
        <f>IF(2026-R$3&gt;IF($D37="",2026,$D37),IF(R$3=12,0.1*$G37,""),IF(2026-R$4&lt;$C37,"",R$4*$G37))</f>
        <v/>
      </c>
      <c r="S37" s="19" t="str">
        <f>IF(2026-S$3&gt;IF($D37="",2026,$D37),IF(S$3=12,0.1*$G37,""),IF(2026-S$4&lt;$C37,"",S$4*$G37))</f>
        <v/>
      </c>
      <c r="T37" s="19" t="str">
        <f>IF(2026-T$3&gt;IF($D37="",2026,$D37),IF(T$3=12,0.1*$G37,""),IF(2026-T$4&lt;$C37,"",T$4*$G37))</f>
        <v/>
      </c>
    </row>
    <row r="38" spans="1:20" s="18" customFormat="1" ht="12" customHeight="1" x14ac:dyDescent="0.2">
      <c r="A38" s="17"/>
      <c r="B38" s="16" t="s">
        <v>397</v>
      </c>
      <c r="C38" s="13">
        <v>2006</v>
      </c>
      <c r="D38" s="13">
        <v>2008</v>
      </c>
      <c r="E38" s="13">
        <v>3824</v>
      </c>
      <c r="F38" s="13">
        <v>355</v>
      </c>
      <c r="G38" s="21">
        <v>90700</v>
      </c>
      <c r="H38" s="20"/>
      <c r="I38" s="19">
        <f>IF(2026-I$3&gt;IF($D38="",2026,$D38),IF(I$3=12,0.1*$G38,""),IF(2026-I$4&lt;$C38,"",I$4*$G38))</f>
        <v>9070</v>
      </c>
      <c r="J38" s="19" t="str">
        <f>IF(2026-J$3&gt;IF($D38="",2026,$D38),IF(J$3=12,0.1*$G38,""),IF(2026-J$4&lt;$C38,"",J$4*$G38))</f>
        <v/>
      </c>
      <c r="K38" s="19" t="str">
        <f>IF(2026-K$3&gt;IF($D38="",2026,$D38),IF(K$3=12,0.1*$G38,""),IF(2026-K$4&lt;$C38,"",K$4*$G38))</f>
        <v/>
      </c>
      <c r="L38" s="19" t="str">
        <f>IF(2026-L$3&gt;IF($D38="",2026,$D38),IF(L$3=12,0.1*$G38,""),IF(2026-L$4&lt;$C38,"",L$4*$G38))</f>
        <v/>
      </c>
      <c r="M38" s="19" t="str">
        <f>IF(2026-M$3&gt;IF($D38="",2026,$D38),IF(M$3=12,0.1*$G38,""),IF(2026-M$4&lt;$C38,"",M$4*$G38))</f>
        <v/>
      </c>
      <c r="N38" s="19" t="str">
        <f>IF(2026-N$3&gt;IF($D38="",2026,$D38),IF(N$3=12,0.1*$G38,""),IF(2026-N$4&lt;$C38,"",N$4*$G38))</f>
        <v/>
      </c>
      <c r="O38" s="19" t="str">
        <f>IF(2026-O$3&gt;IF($D38="",2026,$D38),IF(O$3=12,0.1*$G38,""),IF(2026-O$4&lt;$C38,"",O$4*$G38))</f>
        <v/>
      </c>
      <c r="P38" s="19" t="str">
        <f>IF(2026-P$3&gt;IF($D38="",2026,$D38),IF(P$3=12,0.1*$G38,""),IF(2026-P$4&lt;$C38,"",P$4*$G38))</f>
        <v/>
      </c>
      <c r="Q38" s="19" t="str">
        <f>IF(2026-Q$3&gt;IF($D38="",2026,$D38),IF(Q$3=12,0.1*$G38,""),IF(2026-Q$4&lt;$C38,"",Q$4*$G38))</f>
        <v/>
      </c>
      <c r="R38" s="19" t="str">
        <f>IF(2026-R$3&gt;IF($D38="",2026,$D38),IF(R$3=12,0.1*$G38,""),IF(2026-R$4&lt;$C38,"",R$4*$G38))</f>
        <v/>
      </c>
      <c r="S38" s="19" t="str">
        <f>IF(2026-S$3&gt;IF($D38="",2026,$D38),IF(S$3=12,0.1*$G38,""),IF(2026-S$4&lt;$C38,"",S$4*$G38))</f>
        <v/>
      </c>
      <c r="T38" s="19" t="str">
        <f>IF(2026-T$3&gt;IF($D38="",2026,$D38),IF(T$3=12,0.1*$G38,""),IF(2026-T$4&lt;$C38,"",T$4*$G38))</f>
        <v/>
      </c>
    </row>
    <row r="39" spans="1:20" s="18" customFormat="1" ht="12" customHeight="1" x14ac:dyDescent="0.2">
      <c r="A39" s="17"/>
      <c r="B39" s="16" t="s">
        <v>396</v>
      </c>
      <c r="C39" s="13">
        <v>2008</v>
      </c>
      <c r="D39" s="13">
        <v>2013</v>
      </c>
      <c r="E39" s="13">
        <v>3614</v>
      </c>
      <c r="F39" s="13">
        <v>345</v>
      </c>
      <c r="G39" s="21">
        <v>90600</v>
      </c>
      <c r="H39" s="20"/>
      <c r="I39" s="19">
        <f>IF(2026-I$3&gt;IF($D39="",2026,$D39),IF(I$3=12,0.1*$G39,""),IF(2026-I$4&lt;$C39,"",I$4*$G39))</f>
        <v>9060</v>
      </c>
      <c r="J39" s="19" t="str">
        <f>IF(2026-J$3&gt;IF($D39="",2026,$D39),IF(J$3=12,0.1*$G39,""),IF(2026-J$4&lt;$C39,"",J$4*$G39))</f>
        <v/>
      </c>
      <c r="K39" s="19" t="str">
        <f>IF(2026-K$3&gt;IF($D39="",2026,$D39),IF(K$3=12,0.1*$G39,""),IF(2026-K$4&lt;$C39,"",K$4*$G39))</f>
        <v/>
      </c>
      <c r="L39" s="19" t="str">
        <f>IF(2026-L$3&gt;IF($D39="",2026,$D39),IF(L$3=12,0.1*$G39,""),IF(2026-L$4&lt;$C39,"",L$4*$G39))</f>
        <v/>
      </c>
      <c r="M39" s="19" t="str">
        <f>IF(2026-M$3&gt;IF($D39="",2026,$D39),IF(M$3=12,0.1*$G39,""),IF(2026-M$4&lt;$C39,"",M$4*$G39))</f>
        <v/>
      </c>
      <c r="N39" s="19" t="str">
        <f>IF(2026-N$3&gt;IF($D39="",2026,$D39),IF(N$3=12,0.1*$G39,""),IF(2026-N$4&lt;$C39,"",N$4*$G39))</f>
        <v/>
      </c>
      <c r="O39" s="19" t="str">
        <f>IF(2026-O$3&gt;IF($D39="",2026,$D39),IF(O$3=12,0.1*$G39,""),IF(2026-O$4&lt;$C39,"",O$4*$G39))</f>
        <v/>
      </c>
      <c r="P39" s="19" t="str">
        <f>IF(2026-P$3&gt;IF($D39="",2026,$D39),IF(P$3=12,0.1*$G39,""),IF(2026-P$4&lt;$C39,"",P$4*$G39))</f>
        <v/>
      </c>
      <c r="Q39" s="19" t="str">
        <f>IF(2026-Q$3&gt;IF($D39="",2026,$D39),IF(Q$3=12,0.1*$G39,""),IF(2026-Q$4&lt;$C39,"",Q$4*$G39))</f>
        <v/>
      </c>
      <c r="R39" s="19" t="str">
        <f>IF(2026-R$3&gt;IF($D39="",2026,$D39),IF(R$3=12,0.1*$G39,""),IF(2026-R$4&lt;$C39,"",R$4*$G39))</f>
        <v/>
      </c>
      <c r="S39" s="19" t="str">
        <f>IF(2026-S$3&gt;IF($D39="",2026,$D39),IF(S$3=12,0.1*$G39,""),IF(2026-S$4&lt;$C39,"",S$4*$G39))</f>
        <v/>
      </c>
      <c r="T39" s="19" t="str">
        <f>IF(2026-T$3&gt;IF($D39="",2026,$D39),IF(T$3=12,0.1*$G39,""),IF(2026-T$4&lt;$C39,"",T$4*$G39))</f>
        <v/>
      </c>
    </row>
    <row r="40" spans="1:20" s="18" customFormat="1" ht="12" customHeight="1" x14ac:dyDescent="0.2">
      <c r="A40" s="17"/>
      <c r="B40" s="16" t="s">
        <v>395</v>
      </c>
      <c r="C40" s="13">
        <v>2008</v>
      </c>
      <c r="D40" s="13">
        <v>2013</v>
      </c>
      <c r="E40" s="13">
        <v>3614</v>
      </c>
      <c r="F40" s="13">
        <v>345</v>
      </c>
      <c r="G40" s="21">
        <v>80900</v>
      </c>
      <c r="H40" s="20"/>
      <c r="I40" s="19">
        <f>IF(2026-I$3&gt;IF($D40="",2026,$D40),IF(I$3=12,0.1*$G40,""),IF(2026-I$4&lt;$C40,"",I$4*$G40))</f>
        <v>8090</v>
      </c>
      <c r="J40" s="19" t="str">
        <f>IF(2026-J$3&gt;IF($D40="",2026,$D40),IF(J$3=12,0.1*$G40,""),IF(2026-J$4&lt;$C40,"",J$4*$G40))</f>
        <v/>
      </c>
      <c r="K40" s="19" t="str">
        <f>IF(2026-K$3&gt;IF($D40="",2026,$D40),IF(K$3=12,0.1*$G40,""),IF(2026-K$4&lt;$C40,"",K$4*$G40))</f>
        <v/>
      </c>
      <c r="L40" s="19" t="str">
        <f>IF(2026-L$3&gt;IF($D40="",2026,$D40),IF(L$3=12,0.1*$G40,""),IF(2026-L$4&lt;$C40,"",L$4*$G40))</f>
        <v/>
      </c>
      <c r="M40" s="19" t="str">
        <f>IF(2026-M$3&gt;IF($D40="",2026,$D40),IF(M$3=12,0.1*$G40,""),IF(2026-M$4&lt;$C40,"",M$4*$G40))</f>
        <v/>
      </c>
      <c r="N40" s="19" t="str">
        <f>IF(2026-N$3&gt;IF($D40="",2026,$D40),IF(N$3=12,0.1*$G40,""),IF(2026-N$4&lt;$C40,"",N$4*$G40))</f>
        <v/>
      </c>
      <c r="O40" s="19" t="str">
        <f>IF(2026-O$3&gt;IF($D40="",2026,$D40),IF(O$3=12,0.1*$G40,""),IF(2026-O$4&lt;$C40,"",O$4*$G40))</f>
        <v/>
      </c>
      <c r="P40" s="19" t="str">
        <f>IF(2026-P$3&gt;IF($D40="",2026,$D40),IF(P$3=12,0.1*$G40,""),IF(2026-P$4&lt;$C40,"",P$4*$G40))</f>
        <v/>
      </c>
      <c r="Q40" s="19" t="str">
        <f>IF(2026-Q$3&gt;IF($D40="",2026,$D40),IF(Q$3=12,0.1*$G40,""),IF(2026-Q$4&lt;$C40,"",Q$4*$G40))</f>
        <v/>
      </c>
      <c r="R40" s="19" t="str">
        <f>IF(2026-R$3&gt;IF($D40="",2026,$D40),IF(R$3=12,0.1*$G40,""),IF(2026-R$4&lt;$C40,"",R$4*$G40))</f>
        <v/>
      </c>
      <c r="S40" s="19" t="str">
        <f>IF(2026-S$3&gt;IF($D40="",2026,$D40),IF(S$3=12,0.1*$G40,""),IF(2026-S$4&lt;$C40,"",S$4*$G40))</f>
        <v/>
      </c>
      <c r="T40" s="19" t="str">
        <f>IF(2026-T$3&gt;IF($D40="",2026,$D40),IF(T$3=12,0.1*$G40,""),IF(2026-T$4&lt;$C40,"",T$4*$G40))</f>
        <v/>
      </c>
    </row>
    <row r="41" spans="1:20" s="18" customFormat="1" ht="12" customHeight="1" x14ac:dyDescent="0.2">
      <c r="A41" s="17"/>
      <c r="B41" s="16" t="s">
        <v>394</v>
      </c>
      <c r="C41" s="13">
        <v>2008</v>
      </c>
      <c r="D41" s="13">
        <v>2013</v>
      </c>
      <c r="E41" s="13">
        <v>3614</v>
      </c>
      <c r="F41" s="13">
        <v>345</v>
      </c>
      <c r="G41" s="21">
        <v>84700</v>
      </c>
      <c r="H41" s="20"/>
      <c r="I41" s="19">
        <f>IF(2026-I$3&gt;IF($D41="",2026,$D41),IF(I$3=12,0.1*$G41,""),IF(2026-I$4&lt;$C41,"",I$4*$G41))</f>
        <v>8470</v>
      </c>
      <c r="J41" s="19" t="str">
        <f>IF(2026-J$3&gt;IF($D41="",2026,$D41),IF(J$3=12,0.1*$G41,""),IF(2026-J$4&lt;$C41,"",J$4*$G41))</f>
        <v/>
      </c>
      <c r="K41" s="19" t="str">
        <f>IF(2026-K$3&gt;IF($D41="",2026,$D41),IF(K$3=12,0.1*$G41,""),IF(2026-K$4&lt;$C41,"",K$4*$G41))</f>
        <v/>
      </c>
      <c r="L41" s="19" t="str">
        <f>IF(2026-L$3&gt;IF($D41="",2026,$D41),IF(L$3=12,0.1*$G41,""),IF(2026-L$4&lt;$C41,"",L$4*$G41))</f>
        <v/>
      </c>
      <c r="M41" s="19" t="str">
        <f>IF(2026-M$3&gt;IF($D41="",2026,$D41),IF(M$3=12,0.1*$G41,""),IF(2026-M$4&lt;$C41,"",M$4*$G41))</f>
        <v/>
      </c>
      <c r="N41" s="19" t="str">
        <f>IF(2026-N$3&gt;IF($D41="",2026,$D41),IF(N$3=12,0.1*$G41,""),IF(2026-N$4&lt;$C41,"",N$4*$G41))</f>
        <v/>
      </c>
      <c r="O41" s="19" t="str">
        <f>IF(2026-O$3&gt;IF($D41="",2026,$D41),IF(O$3=12,0.1*$G41,""),IF(2026-O$4&lt;$C41,"",O$4*$G41))</f>
        <v/>
      </c>
      <c r="P41" s="19" t="str">
        <f>IF(2026-P$3&gt;IF($D41="",2026,$D41),IF(P$3=12,0.1*$G41,""),IF(2026-P$4&lt;$C41,"",P$4*$G41))</f>
        <v/>
      </c>
      <c r="Q41" s="19" t="str">
        <f>IF(2026-Q$3&gt;IF($D41="",2026,$D41),IF(Q$3=12,0.1*$G41,""),IF(2026-Q$4&lt;$C41,"",Q$4*$G41))</f>
        <v/>
      </c>
      <c r="R41" s="19" t="str">
        <f>IF(2026-R$3&gt;IF($D41="",2026,$D41),IF(R$3=12,0.1*$G41,""),IF(2026-R$4&lt;$C41,"",R$4*$G41))</f>
        <v/>
      </c>
      <c r="S41" s="19" t="str">
        <f>IF(2026-S$3&gt;IF($D41="",2026,$D41),IF(S$3=12,0.1*$G41,""),IF(2026-S$4&lt;$C41,"",S$4*$G41))</f>
        <v/>
      </c>
      <c r="T41" s="19" t="str">
        <f>IF(2026-T$3&gt;IF($D41="",2026,$D41),IF(T$3=12,0.1*$G41,""),IF(2026-T$4&lt;$C41,"",T$4*$G41))</f>
        <v/>
      </c>
    </row>
    <row r="42" spans="1:20" s="18" customFormat="1" ht="12" customHeight="1" x14ac:dyDescent="0.2">
      <c r="A42" s="17"/>
      <c r="B42" s="16" t="s">
        <v>393</v>
      </c>
      <c r="C42" s="13">
        <v>2008</v>
      </c>
      <c r="D42" s="13">
        <v>2013</v>
      </c>
      <c r="E42" s="13">
        <v>3614</v>
      </c>
      <c r="F42" s="13">
        <v>345</v>
      </c>
      <c r="G42" s="21">
        <v>88800</v>
      </c>
      <c r="H42" s="20"/>
      <c r="I42" s="19">
        <f>IF(2026-I$3&gt;IF($D42="",2026,$D42),IF(I$3=12,0.1*$G42,""),IF(2026-I$4&lt;$C42,"",I$4*$G42))</f>
        <v>8880</v>
      </c>
      <c r="J42" s="19" t="str">
        <f>IF(2026-J$3&gt;IF($D42="",2026,$D42),IF(J$3=12,0.1*$G42,""),IF(2026-J$4&lt;$C42,"",J$4*$G42))</f>
        <v/>
      </c>
      <c r="K42" s="19" t="str">
        <f>IF(2026-K$3&gt;IF($D42="",2026,$D42),IF(K$3=12,0.1*$G42,""),IF(2026-K$4&lt;$C42,"",K$4*$G42))</f>
        <v/>
      </c>
      <c r="L42" s="19" t="str">
        <f>IF(2026-L$3&gt;IF($D42="",2026,$D42),IF(L$3=12,0.1*$G42,""),IF(2026-L$4&lt;$C42,"",L$4*$G42))</f>
        <v/>
      </c>
      <c r="M42" s="19" t="str">
        <f>IF(2026-M$3&gt;IF($D42="",2026,$D42),IF(M$3=12,0.1*$G42,""),IF(2026-M$4&lt;$C42,"",M$4*$G42))</f>
        <v/>
      </c>
      <c r="N42" s="19" t="str">
        <f>IF(2026-N$3&gt;IF($D42="",2026,$D42),IF(N$3=12,0.1*$G42,""),IF(2026-N$4&lt;$C42,"",N$4*$G42))</f>
        <v/>
      </c>
      <c r="O42" s="19" t="str">
        <f>IF(2026-O$3&gt;IF($D42="",2026,$D42),IF(O$3=12,0.1*$G42,""),IF(2026-O$4&lt;$C42,"",O$4*$G42))</f>
        <v/>
      </c>
      <c r="P42" s="19" t="str">
        <f>IF(2026-P$3&gt;IF($D42="",2026,$D42),IF(P$3=12,0.1*$G42,""),IF(2026-P$4&lt;$C42,"",P$4*$G42))</f>
        <v/>
      </c>
      <c r="Q42" s="19" t="str">
        <f>IF(2026-Q$3&gt;IF($D42="",2026,$D42),IF(Q$3=12,0.1*$G42,""),IF(2026-Q$4&lt;$C42,"",Q$4*$G42))</f>
        <v/>
      </c>
      <c r="R42" s="19" t="str">
        <f>IF(2026-R$3&gt;IF($D42="",2026,$D42),IF(R$3=12,0.1*$G42,""),IF(2026-R$4&lt;$C42,"",R$4*$G42))</f>
        <v/>
      </c>
      <c r="S42" s="19" t="str">
        <f>IF(2026-S$3&gt;IF($D42="",2026,$D42),IF(S$3=12,0.1*$G42,""),IF(2026-S$4&lt;$C42,"",S$4*$G42))</f>
        <v/>
      </c>
      <c r="T42" s="19" t="str">
        <f>IF(2026-T$3&gt;IF($D42="",2026,$D42),IF(T$3=12,0.1*$G42,""),IF(2026-T$4&lt;$C42,"",T$4*$G42))</f>
        <v/>
      </c>
    </row>
    <row r="43" spans="1:20" s="18" customFormat="1" ht="12" customHeight="1" x14ac:dyDescent="0.2">
      <c r="A43" s="17"/>
      <c r="B43" s="16" t="s">
        <v>392</v>
      </c>
      <c r="C43" s="13">
        <v>2008</v>
      </c>
      <c r="D43" s="13">
        <v>2013</v>
      </c>
      <c r="E43" s="13">
        <v>3614</v>
      </c>
      <c r="F43" s="13">
        <v>345</v>
      </c>
      <c r="G43" s="21">
        <v>74900</v>
      </c>
      <c r="H43" s="20"/>
      <c r="I43" s="19">
        <f>IF(2026-I$3&gt;IF($D43="",2026,$D43),IF(I$3=12,0.1*$G43,""),IF(2026-I$4&lt;$C43,"",I$4*$G43))</f>
        <v>7490</v>
      </c>
      <c r="J43" s="19" t="str">
        <f>IF(2026-J$3&gt;IF($D43="",2026,$D43),IF(J$3=12,0.1*$G43,""),IF(2026-J$4&lt;$C43,"",J$4*$G43))</f>
        <v/>
      </c>
      <c r="K43" s="19" t="str">
        <f>IF(2026-K$3&gt;IF($D43="",2026,$D43),IF(K$3=12,0.1*$G43,""),IF(2026-K$4&lt;$C43,"",K$4*$G43))</f>
        <v/>
      </c>
      <c r="L43" s="19" t="str">
        <f>IF(2026-L$3&gt;IF($D43="",2026,$D43),IF(L$3=12,0.1*$G43,""),IF(2026-L$4&lt;$C43,"",L$4*$G43))</f>
        <v/>
      </c>
      <c r="M43" s="19" t="str">
        <f>IF(2026-M$3&gt;IF($D43="",2026,$D43),IF(M$3=12,0.1*$G43,""),IF(2026-M$4&lt;$C43,"",M$4*$G43))</f>
        <v/>
      </c>
      <c r="N43" s="19" t="str">
        <f>IF(2026-N$3&gt;IF($D43="",2026,$D43),IF(N$3=12,0.1*$G43,""),IF(2026-N$4&lt;$C43,"",N$4*$G43))</f>
        <v/>
      </c>
      <c r="O43" s="19" t="str">
        <f>IF(2026-O$3&gt;IF($D43="",2026,$D43),IF(O$3=12,0.1*$G43,""),IF(2026-O$4&lt;$C43,"",O$4*$G43))</f>
        <v/>
      </c>
      <c r="P43" s="19" t="str">
        <f>IF(2026-P$3&gt;IF($D43="",2026,$D43),IF(P$3=12,0.1*$G43,""),IF(2026-P$4&lt;$C43,"",P$4*$G43))</f>
        <v/>
      </c>
      <c r="Q43" s="19" t="str">
        <f>IF(2026-Q$3&gt;IF($D43="",2026,$D43),IF(Q$3=12,0.1*$G43,""),IF(2026-Q$4&lt;$C43,"",Q$4*$G43))</f>
        <v/>
      </c>
      <c r="R43" s="19" t="str">
        <f>IF(2026-R$3&gt;IF($D43="",2026,$D43),IF(R$3=12,0.1*$G43,""),IF(2026-R$4&lt;$C43,"",R$4*$G43))</f>
        <v/>
      </c>
      <c r="S43" s="19" t="str">
        <f>IF(2026-S$3&gt;IF($D43="",2026,$D43),IF(S$3=12,0.1*$G43,""),IF(2026-S$4&lt;$C43,"",S$4*$G43))</f>
        <v/>
      </c>
      <c r="T43" s="19" t="str">
        <f>IF(2026-T$3&gt;IF($D43="",2026,$D43),IF(T$3=12,0.1*$G43,""),IF(2026-T$4&lt;$C43,"",T$4*$G43))</f>
        <v/>
      </c>
    </row>
    <row r="44" spans="1:20" s="18" customFormat="1" ht="12" customHeight="1" x14ac:dyDescent="0.2">
      <c r="A44" s="17"/>
      <c r="B44" s="16" t="s">
        <v>391</v>
      </c>
      <c r="C44" s="13">
        <v>2008</v>
      </c>
      <c r="D44" s="13">
        <v>2013</v>
      </c>
      <c r="E44" s="13">
        <v>3614</v>
      </c>
      <c r="F44" s="13">
        <v>345</v>
      </c>
      <c r="G44" s="21">
        <v>78500</v>
      </c>
      <c r="H44" s="20"/>
      <c r="I44" s="19">
        <f>IF(2026-I$3&gt;IF($D44="",2026,$D44),IF(I$3=12,0.1*$G44,""),IF(2026-I$4&lt;$C44,"",I$4*$G44))</f>
        <v>7850</v>
      </c>
      <c r="J44" s="19" t="str">
        <f>IF(2026-J$3&gt;IF($D44="",2026,$D44),IF(J$3=12,0.1*$G44,""),IF(2026-J$4&lt;$C44,"",J$4*$G44))</f>
        <v/>
      </c>
      <c r="K44" s="19" t="str">
        <f>IF(2026-K$3&gt;IF($D44="",2026,$D44),IF(K$3=12,0.1*$G44,""),IF(2026-K$4&lt;$C44,"",K$4*$G44))</f>
        <v/>
      </c>
      <c r="L44" s="19" t="str">
        <f>IF(2026-L$3&gt;IF($D44="",2026,$D44),IF(L$3=12,0.1*$G44,""),IF(2026-L$4&lt;$C44,"",L$4*$G44))</f>
        <v/>
      </c>
      <c r="M44" s="19" t="str">
        <f>IF(2026-M$3&gt;IF($D44="",2026,$D44),IF(M$3=12,0.1*$G44,""),IF(2026-M$4&lt;$C44,"",M$4*$G44))</f>
        <v/>
      </c>
      <c r="N44" s="19" t="str">
        <f>IF(2026-N$3&gt;IF($D44="",2026,$D44),IF(N$3=12,0.1*$G44,""),IF(2026-N$4&lt;$C44,"",N$4*$G44))</f>
        <v/>
      </c>
      <c r="O44" s="19" t="str">
        <f>IF(2026-O$3&gt;IF($D44="",2026,$D44),IF(O$3=12,0.1*$G44,""),IF(2026-O$4&lt;$C44,"",O$4*$G44))</f>
        <v/>
      </c>
      <c r="P44" s="19" t="str">
        <f>IF(2026-P$3&gt;IF($D44="",2026,$D44),IF(P$3=12,0.1*$G44,""),IF(2026-P$4&lt;$C44,"",P$4*$G44))</f>
        <v/>
      </c>
      <c r="Q44" s="19" t="str">
        <f>IF(2026-Q$3&gt;IF($D44="",2026,$D44),IF(Q$3=12,0.1*$G44,""),IF(2026-Q$4&lt;$C44,"",Q$4*$G44))</f>
        <v/>
      </c>
      <c r="R44" s="19" t="str">
        <f>IF(2026-R$3&gt;IF($D44="",2026,$D44),IF(R$3=12,0.1*$G44,""),IF(2026-R$4&lt;$C44,"",R$4*$G44))</f>
        <v/>
      </c>
      <c r="S44" s="19" t="str">
        <f>IF(2026-S$3&gt;IF($D44="",2026,$D44),IF(S$3=12,0.1*$G44,""),IF(2026-S$4&lt;$C44,"",S$4*$G44))</f>
        <v/>
      </c>
      <c r="T44" s="19" t="str">
        <f>IF(2026-T$3&gt;IF($D44="",2026,$D44),IF(T$3=12,0.1*$G44,""),IF(2026-T$4&lt;$C44,"",T$4*$G44))</f>
        <v/>
      </c>
    </row>
    <row r="45" spans="1:20" s="18" customFormat="1" ht="12" customHeight="1" x14ac:dyDescent="0.2">
      <c r="A45" s="17"/>
      <c r="B45" s="16" t="s">
        <v>282</v>
      </c>
      <c r="C45" s="13">
        <v>2008</v>
      </c>
      <c r="D45" s="13">
        <v>2013</v>
      </c>
      <c r="E45" s="13">
        <v>3614</v>
      </c>
      <c r="F45" s="13">
        <v>345</v>
      </c>
      <c r="G45" s="21">
        <v>88400</v>
      </c>
      <c r="H45" s="20"/>
      <c r="I45" s="19">
        <f>IF(2026-I$3&gt;IF($D45="",2026,$D45),IF(I$3=12,0.1*$G45,""),IF(2026-I$4&lt;$C45,"",I$4*$G45))</f>
        <v>8840</v>
      </c>
      <c r="J45" s="19" t="str">
        <f>IF(2026-J$3&gt;IF($D45="",2026,$D45),IF(J$3=12,0.1*$G45,""),IF(2026-J$4&lt;$C45,"",J$4*$G45))</f>
        <v/>
      </c>
      <c r="K45" s="19" t="str">
        <f>IF(2026-K$3&gt;IF($D45="",2026,$D45),IF(K$3=12,0.1*$G45,""),IF(2026-K$4&lt;$C45,"",K$4*$G45))</f>
        <v/>
      </c>
      <c r="L45" s="19" t="str">
        <f>IF(2026-L$3&gt;IF($D45="",2026,$D45),IF(L$3=12,0.1*$G45,""),IF(2026-L$4&lt;$C45,"",L$4*$G45))</f>
        <v/>
      </c>
      <c r="M45" s="19" t="str">
        <f>IF(2026-M$3&gt;IF($D45="",2026,$D45),IF(M$3=12,0.1*$G45,""),IF(2026-M$4&lt;$C45,"",M$4*$G45))</f>
        <v/>
      </c>
      <c r="N45" s="19" t="str">
        <f>IF(2026-N$3&gt;IF($D45="",2026,$D45),IF(N$3=12,0.1*$G45,""),IF(2026-N$4&lt;$C45,"",N$4*$G45))</f>
        <v/>
      </c>
      <c r="O45" s="19" t="str">
        <f>IF(2026-O$3&gt;IF($D45="",2026,$D45),IF(O$3=12,0.1*$G45,""),IF(2026-O$4&lt;$C45,"",O$4*$G45))</f>
        <v/>
      </c>
      <c r="P45" s="19" t="str">
        <f>IF(2026-P$3&gt;IF($D45="",2026,$D45),IF(P$3=12,0.1*$G45,""),IF(2026-P$4&lt;$C45,"",P$4*$G45))</f>
        <v/>
      </c>
      <c r="Q45" s="19" t="str">
        <f>IF(2026-Q$3&gt;IF($D45="",2026,$D45),IF(Q$3=12,0.1*$G45,""),IF(2026-Q$4&lt;$C45,"",Q$4*$G45))</f>
        <v/>
      </c>
      <c r="R45" s="19" t="str">
        <f>IF(2026-R$3&gt;IF($D45="",2026,$D45),IF(R$3=12,0.1*$G45,""),IF(2026-R$4&lt;$C45,"",R$4*$G45))</f>
        <v/>
      </c>
      <c r="S45" s="19" t="str">
        <f>IF(2026-S$3&gt;IF($D45="",2026,$D45),IF(S$3=12,0.1*$G45,""),IF(2026-S$4&lt;$C45,"",S$4*$G45))</f>
        <v/>
      </c>
      <c r="T45" s="19" t="str">
        <f>IF(2026-T$3&gt;IF($D45="",2026,$D45),IF(T$3=12,0.1*$G45,""),IF(2026-T$4&lt;$C45,"",T$4*$G45))</f>
        <v/>
      </c>
    </row>
    <row r="46" spans="1:20" s="18" customFormat="1" ht="12" customHeight="1" x14ac:dyDescent="0.2">
      <c r="A46" s="17"/>
      <c r="B46" s="16" t="s">
        <v>390</v>
      </c>
      <c r="C46" s="13">
        <v>2008</v>
      </c>
      <c r="D46" s="13">
        <v>2013</v>
      </c>
      <c r="E46" s="13">
        <v>3800</v>
      </c>
      <c r="F46" s="13">
        <v>385</v>
      </c>
      <c r="G46" s="21">
        <v>100300</v>
      </c>
      <c r="H46" s="20"/>
      <c r="I46" s="19">
        <f>IF(2026-I$3&gt;IF($D46="",2026,$D46),IF(I$3=12,0.1*$G46,""),IF(2026-I$4&lt;$C46,"",I$4*$G46))</f>
        <v>10030</v>
      </c>
      <c r="J46" s="19" t="str">
        <f>IF(2026-J$3&gt;IF($D46="",2026,$D46),IF(J$3=12,0.1*$G46,""),IF(2026-J$4&lt;$C46,"",J$4*$G46))</f>
        <v/>
      </c>
      <c r="K46" s="19" t="str">
        <f>IF(2026-K$3&gt;IF($D46="",2026,$D46),IF(K$3=12,0.1*$G46,""),IF(2026-K$4&lt;$C46,"",K$4*$G46))</f>
        <v/>
      </c>
      <c r="L46" s="19" t="str">
        <f>IF(2026-L$3&gt;IF($D46="",2026,$D46),IF(L$3=12,0.1*$G46,""),IF(2026-L$4&lt;$C46,"",L$4*$G46))</f>
        <v/>
      </c>
      <c r="M46" s="19" t="str">
        <f>IF(2026-M$3&gt;IF($D46="",2026,$D46),IF(M$3=12,0.1*$G46,""),IF(2026-M$4&lt;$C46,"",M$4*$G46))</f>
        <v/>
      </c>
      <c r="N46" s="19" t="str">
        <f>IF(2026-N$3&gt;IF($D46="",2026,$D46),IF(N$3=12,0.1*$G46,""),IF(2026-N$4&lt;$C46,"",N$4*$G46))</f>
        <v/>
      </c>
      <c r="O46" s="19" t="str">
        <f>IF(2026-O$3&gt;IF($D46="",2026,$D46),IF(O$3=12,0.1*$G46,""),IF(2026-O$4&lt;$C46,"",O$4*$G46))</f>
        <v/>
      </c>
      <c r="P46" s="19" t="str">
        <f>IF(2026-P$3&gt;IF($D46="",2026,$D46),IF(P$3=12,0.1*$G46,""),IF(2026-P$4&lt;$C46,"",P$4*$G46))</f>
        <v/>
      </c>
      <c r="Q46" s="19" t="str">
        <f>IF(2026-Q$3&gt;IF($D46="",2026,$D46),IF(Q$3=12,0.1*$G46,""),IF(2026-Q$4&lt;$C46,"",Q$4*$G46))</f>
        <v/>
      </c>
      <c r="R46" s="19" t="str">
        <f>IF(2026-R$3&gt;IF($D46="",2026,$D46),IF(R$3=12,0.1*$G46,""),IF(2026-R$4&lt;$C46,"",R$4*$G46))</f>
        <v/>
      </c>
      <c r="S46" s="19" t="str">
        <f>IF(2026-S$3&gt;IF($D46="",2026,$D46),IF(S$3=12,0.1*$G46,""),IF(2026-S$4&lt;$C46,"",S$4*$G46))</f>
        <v/>
      </c>
      <c r="T46" s="19" t="str">
        <f>IF(2026-T$3&gt;IF($D46="",2026,$D46),IF(T$3=12,0.1*$G46,""),IF(2026-T$4&lt;$C46,"",T$4*$G46))</f>
        <v/>
      </c>
    </row>
    <row r="47" spans="1:20" s="18" customFormat="1" ht="12" customHeight="1" x14ac:dyDescent="0.2">
      <c r="A47" s="17"/>
      <c r="B47" s="16" t="s">
        <v>389</v>
      </c>
      <c r="C47" s="13">
        <v>2008</v>
      </c>
      <c r="D47" s="13">
        <v>2013</v>
      </c>
      <c r="E47" s="13">
        <v>3800</v>
      </c>
      <c r="F47" s="13">
        <v>385</v>
      </c>
      <c r="G47" s="21">
        <v>90600</v>
      </c>
      <c r="H47" s="20"/>
      <c r="I47" s="19">
        <f>IF(2026-I$3&gt;IF($D47="",2026,$D47),IF(I$3=12,0.1*$G47,""),IF(2026-I$4&lt;$C47,"",I$4*$G47))</f>
        <v>9060</v>
      </c>
      <c r="J47" s="19" t="str">
        <f>IF(2026-J$3&gt;IF($D47="",2026,$D47),IF(J$3=12,0.1*$G47,""),IF(2026-J$4&lt;$C47,"",J$4*$G47))</f>
        <v/>
      </c>
      <c r="K47" s="19" t="str">
        <f>IF(2026-K$3&gt;IF($D47="",2026,$D47),IF(K$3=12,0.1*$G47,""),IF(2026-K$4&lt;$C47,"",K$4*$G47))</f>
        <v/>
      </c>
      <c r="L47" s="19" t="str">
        <f>IF(2026-L$3&gt;IF($D47="",2026,$D47),IF(L$3=12,0.1*$G47,""),IF(2026-L$4&lt;$C47,"",L$4*$G47))</f>
        <v/>
      </c>
      <c r="M47" s="19" t="str">
        <f>IF(2026-M$3&gt;IF($D47="",2026,$D47),IF(M$3=12,0.1*$G47,""),IF(2026-M$4&lt;$C47,"",M$4*$G47))</f>
        <v/>
      </c>
      <c r="N47" s="19" t="str">
        <f>IF(2026-N$3&gt;IF($D47="",2026,$D47),IF(N$3=12,0.1*$G47,""),IF(2026-N$4&lt;$C47,"",N$4*$G47))</f>
        <v/>
      </c>
      <c r="O47" s="19" t="str">
        <f>IF(2026-O$3&gt;IF($D47="",2026,$D47),IF(O$3=12,0.1*$G47,""),IF(2026-O$4&lt;$C47,"",O$4*$G47))</f>
        <v/>
      </c>
      <c r="P47" s="19" t="str">
        <f>IF(2026-P$3&gt;IF($D47="",2026,$D47),IF(P$3=12,0.1*$G47,""),IF(2026-P$4&lt;$C47,"",P$4*$G47))</f>
        <v/>
      </c>
      <c r="Q47" s="19" t="str">
        <f>IF(2026-Q$3&gt;IF($D47="",2026,$D47),IF(Q$3=12,0.1*$G47,""),IF(2026-Q$4&lt;$C47,"",Q$4*$G47))</f>
        <v/>
      </c>
      <c r="R47" s="19" t="str">
        <f>IF(2026-R$3&gt;IF($D47="",2026,$D47),IF(R$3=12,0.1*$G47,""),IF(2026-R$4&lt;$C47,"",R$4*$G47))</f>
        <v/>
      </c>
      <c r="S47" s="19" t="str">
        <f>IF(2026-S$3&gt;IF($D47="",2026,$D47),IF(S$3=12,0.1*$G47,""),IF(2026-S$4&lt;$C47,"",S$4*$G47))</f>
        <v/>
      </c>
      <c r="T47" s="19" t="str">
        <f>IF(2026-T$3&gt;IF($D47="",2026,$D47),IF(T$3=12,0.1*$G47,""),IF(2026-T$4&lt;$C47,"",T$4*$G47))</f>
        <v/>
      </c>
    </row>
    <row r="48" spans="1:20" s="18" customFormat="1" ht="12" customHeight="1" x14ac:dyDescent="0.2">
      <c r="A48" s="17"/>
      <c r="B48" s="16" t="s">
        <v>388</v>
      </c>
      <c r="C48" s="13">
        <v>2008</v>
      </c>
      <c r="D48" s="13">
        <v>2013</v>
      </c>
      <c r="E48" s="13">
        <v>3800</v>
      </c>
      <c r="F48" s="13">
        <v>385</v>
      </c>
      <c r="G48" s="21">
        <v>94500</v>
      </c>
      <c r="H48" s="20"/>
      <c r="I48" s="19">
        <f>IF(2026-I$3&gt;IF($D48="",2026,$D48),IF(I$3=12,0.1*$G48,""),IF(2026-I$4&lt;$C48,"",I$4*$G48))</f>
        <v>9450</v>
      </c>
      <c r="J48" s="19" t="str">
        <f>IF(2026-J$3&gt;IF($D48="",2026,$D48),IF(J$3=12,0.1*$G48,""),IF(2026-J$4&lt;$C48,"",J$4*$G48))</f>
        <v/>
      </c>
      <c r="K48" s="19" t="str">
        <f>IF(2026-K$3&gt;IF($D48="",2026,$D48),IF(K$3=12,0.1*$G48,""),IF(2026-K$4&lt;$C48,"",K$4*$G48))</f>
        <v/>
      </c>
      <c r="L48" s="19" t="str">
        <f>IF(2026-L$3&gt;IF($D48="",2026,$D48),IF(L$3=12,0.1*$G48,""),IF(2026-L$4&lt;$C48,"",L$4*$G48))</f>
        <v/>
      </c>
      <c r="M48" s="19" t="str">
        <f>IF(2026-M$3&gt;IF($D48="",2026,$D48),IF(M$3=12,0.1*$G48,""),IF(2026-M$4&lt;$C48,"",M$4*$G48))</f>
        <v/>
      </c>
      <c r="N48" s="19" t="str">
        <f>IF(2026-N$3&gt;IF($D48="",2026,$D48),IF(N$3=12,0.1*$G48,""),IF(2026-N$4&lt;$C48,"",N$4*$G48))</f>
        <v/>
      </c>
      <c r="O48" s="19" t="str">
        <f>IF(2026-O$3&gt;IF($D48="",2026,$D48),IF(O$3=12,0.1*$G48,""),IF(2026-O$4&lt;$C48,"",O$4*$G48))</f>
        <v/>
      </c>
      <c r="P48" s="19" t="str">
        <f>IF(2026-P$3&gt;IF($D48="",2026,$D48),IF(P$3=12,0.1*$G48,""),IF(2026-P$4&lt;$C48,"",P$4*$G48))</f>
        <v/>
      </c>
      <c r="Q48" s="19" t="str">
        <f>IF(2026-Q$3&gt;IF($D48="",2026,$D48),IF(Q$3=12,0.1*$G48,""),IF(2026-Q$4&lt;$C48,"",Q$4*$G48))</f>
        <v/>
      </c>
      <c r="R48" s="19" t="str">
        <f>IF(2026-R$3&gt;IF($D48="",2026,$D48),IF(R$3=12,0.1*$G48,""),IF(2026-R$4&lt;$C48,"",R$4*$G48))</f>
        <v/>
      </c>
      <c r="S48" s="19" t="str">
        <f>IF(2026-S$3&gt;IF($D48="",2026,$D48),IF(S$3=12,0.1*$G48,""),IF(2026-S$4&lt;$C48,"",S$4*$G48))</f>
        <v/>
      </c>
      <c r="T48" s="19" t="str">
        <f>IF(2026-T$3&gt;IF($D48="",2026,$D48),IF(T$3=12,0.1*$G48,""),IF(2026-T$4&lt;$C48,"",T$4*$G48))</f>
        <v/>
      </c>
    </row>
    <row r="49" spans="1:20" s="18" customFormat="1" ht="12" customHeight="1" x14ac:dyDescent="0.2">
      <c r="A49" s="17"/>
      <c r="B49" s="16" t="s">
        <v>387</v>
      </c>
      <c r="C49" s="13">
        <v>2008</v>
      </c>
      <c r="D49" s="13">
        <v>2013</v>
      </c>
      <c r="E49" s="13">
        <v>3800</v>
      </c>
      <c r="F49" s="13">
        <v>385</v>
      </c>
      <c r="G49" s="21">
        <v>84700</v>
      </c>
      <c r="H49" s="20"/>
      <c r="I49" s="19">
        <f>IF(2026-I$3&gt;IF($D49="",2026,$D49),IF(I$3=12,0.1*$G49,""),IF(2026-I$4&lt;$C49,"",I$4*$G49))</f>
        <v>8470</v>
      </c>
      <c r="J49" s="19" t="str">
        <f>IF(2026-J$3&gt;IF($D49="",2026,$D49),IF(J$3=12,0.1*$G49,""),IF(2026-J$4&lt;$C49,"",J$4*$G49))</f>
        <v/>
      </c>
      <c r="K49" s="19" t="str">
        <f>IF(2026-K$3&gt;IF($D49="",2026,$D49),IF(K$3=12,0.1*$G49,""),IF(2026-K$4&lt;$C49,"",K$4*$G49))</f>
        <v/>
      </c>
      <c r="L49" s="19" t="str">
        <f>IF(2026-L$3&gt;IF($D49="",2026,$D49),IF(L$3=12,0.1*$G49,""),IF(2026-L$4&lt;$C49,"",L$4*$G49))</f>
        <v/>
      </c>
      <c r="M49" s="19" t="str">
        <f>IF(2026-M$3&gt;IF($D49="",2026,$D49),IF(M$3=12,0.1*$G49,""),IF(2026-M$4&lt;$C49,"",M$4*$G49))</f>
        <v/>
      </c>
      <c r="N49" s="19" t="str">
        <f>IF(2026-N$3&gt;IF($D49="",2026,$D49),IF(N$3=12,0.1*$G49,""),IF(2026-N$4&lt;$C49,"",N$4*$G49))</f>
        <v/>
      </c>
      <c r="O49" s="19" t="str">
        <f>IF(2026-O$3&gt;IF($D49="",2026,$D49),IF(O$3=12,0.1*$G49,""),IF(2026-O$4&lt;$C49,"",O$4*$G49))</f>
        <v/>
      </c>
      <c r="P49" s="19" t="str">
        <f>IF(2026-P$3&gt;IF($D49="",2026,$D49),IF(P$3=12,0.1*$G49,""),IF(2026-P$4&lt;$C49,"",P$4*$G49))</f>
        <v/>
      </c>
      <c r="Q49" s="19" t="str">
        <f>IF(2026-Q$3&gt;IF($D49="",2026,$D49),IF(Q$3=12,0.1*$G49,""),IF(2026-Q$4&lt;$C49,"",Q$4*$G49))</f>
        <v/>
      </c>
      <c r="R49" s="19" t="str">
        <f>IF(2026-R$3&gt;IF($D49="",2026,$D49),IF(R$3=12,0.1*$G49,""),IF(2026-R$4&lt;$C49,"",R$4*$G49))</f>
        <v/>
      </c>
      <c r="S49" s="19" t="str">
        <f>IF(2026-S$3&gt;IF($D49="",2026,$D49),IF(S$3=12,0.1*$G49,""),IF(2026-S$4&lt;$C49,"",S$4*$G49))</f>
        <v/>
      </c>
      <c r="T49" s="19" t="str">
        <f>IF(2026-T$3&gt;IF($D49="",2026,$D49),IF(T$3=12,0.1*$G49,""),IF(2026-T$4&lt;$C49,"",T$4*$G49))</f>
        <v/>
      </c>
    </row>
    <row r="50" spans="1:20" s="18" customFormat="1" ht="12" customHeight="1" x14ac:dyDescent="0.2">
      <c r="A50" s="17"/>
      <c r="B50" s="16" t="s">
        <v>277</v>
      </c>
      <c r="C50" s="13">
        <v>2008</v>
      </c>
      <c r="D50" s="13">
        <v>2013</v>
      </c>
      <c r="E50" s="13">
        <v>3800</v>
      </c>
      <c r="F50" s="13">
        <v>385</v>
      </c>
      <c r="G50" s="21">
        <v>98100</v>
      </c>
      <c r="H50" s="20"/>
      <c r="I50" s="19">
        <f>IF(2026-I$3&gt;IF($D50="",2026,$D50),IF(I$3=12,0.1*$G50,""),IF(2026-I$4&lt;$C50,"",I$4*$G50))</f>
        <v>9810</v>
      </c>
      <c r="J50" s="19" t="str">
        <f>IF(2026-J$3&gt;IF($D50="",2026,$D50),IF(J$3=12,0.1*$G50,""),IF(2026-J$4&lt;$C50,"",J$4*$G50))</f>
        <v/>
      </c>
      <c r="K50" s="19" t="str">
        <f>IF(2026-K$3&gt;IF($D50="",2026,$D50),IF(K$3=12,0.1*$G50,""),IF(2026-K$4&lt;$C50,"",K$4*$G50))</f>
        <v/>
      </c>
      <c r="L50" s="19" t="str">
        <f>IF(2026-L$3&gt;IF($D50="",2026,$D50),IF(L$3=12,0.1*$G50,""),IF(2026-L$4&lt;$C50,"",L$4*$G50))</f>
        <v/>
      </c>
      <c r="M50" s="19" t="str">
        <f>IF(2026-M$3&gt;IF($D50="",2026,$D50),IF(M$3=12,0.1*$G50,""),IF(2026-M$4&lt;$C50,"",M$4*$G50))</f>
        <v/>
      </c>
      <c r="N50" s="19" t="str">
        <f>IF(2026-N$3&gt;IF($D50="",2026,$D50),IF(N$3=12,0.1*$G50,""),IF(2026-N$4&lt;$C50,"",N$4*$G50))</f>
        <v/>
      </c>
      <c r="O50" s="19" t="str">
        <f>IF(2026-O$3&gt;IF($D50="",2026,$D50),IF(O$3=12,0.1*$G50,""),IF(2026-O$4&lt;$C50,"",O$4*$G50))</f>
        <v/>
      </c>
      <c r="P50" s="19" t="str">
        <f>IF(2026-P$3&gt;IF($D50="",2026,$D50),IF(P$3=12,0.1*$G50,""),IF(2026-P$4&lt;$C50,"",P$4*$G50))</f>
        <v/>
      </c>
      <c r="Q50" s="19" t="str">
        <f>IF(2026-Q$3&gt;IF($D50="",2026,$D50),IF(Q$3=12,0.1*$G50,""),IF(2026-Q$4&lt;$C50,"",Q$4*$G50))</f>
        <v/>
      </c>
      <c r="R50" s="19" t="str">
        <f>IF(2026-R$3&gt;IF($D50="",2026,$D50),IF(R$3=12,0.1*$G50,""),IF(2026-R$4&lt;$C50,"",R$4*$G50))</f>
        <v/>
      </c>
      <c r="S50" s="19" t="str">
        <f>IF(2026-S$3&gt;IF($D50="",2026,$D50),IF(S$3=12,0.1*$G50,""),IF(2026-S$4&lt;$C50,"",S$4*$G50))</f>
        <v/>
      </c>
      <c r="T50" s="19" t="str">
        <f>IF(2026-T$3&gt;IF($D50="",2026,$D50),IF(T$3=12,0.1*$G50,""),IF(2026-T$4&lt;$C50,"",T$4*$G50))</f>
        <v/>
      </c>
    </row>
    <row r="51" spans="1:20" s="18" customFormat="1" ht="12" customHeight="1" x14ac:dyDescent="0.2">
      <c r="A51" s="17"/>
      <c r="B51" s="16" t="s">
        <v>386</v>
      </c>
      <c r="C51" s="13">
        <v>2008</v>
      </c>
      <c r="D51" s="13">
        <v>2013</v>
      </c>
      <c r="E51" s="13">
        <v>3800</v>
      </c>
      <c r="F51" s="13">
        <v>408</v>
      </c>
      <c r="G51" s="21">
        <v>111500</v>
      </c>
      <c r="H51" s="20"/>
      <c r="I51" s="19">
        <f>IF(2026-I$3&gt;IF($D51="",2026,$D51),IF(I$3=12,0.1*$G51,""),IF(2026-I$4&lt;$C51,"",I$4*$G51))</f>
        <v>11150</v>
      </c>
      <c r="J51" s="19" t="str">
        <f>IF(2026-J$3&gt;IF($D51="",2026,$D51),IF(J$3=12,0.1*$G51,""),IF(2026-J$4&lt;$C51,"",J$4*$G51))</f>
        <v/>
      </c>
      <c r="K51" s="19" t="str">
        <f>IF(2026-K$3&gt;IF($D51="",2026,$D51),IF(K$3=12,0.1*$G51,""),IF(2026-K$4&lt;$C51,"",K$4*$G51))</f>
        <v/>
      </c>
      <c r="L51" s="19" t="str">
        <f>IF(2026-L$3&gt;IF($D51="",2026,$D51),IF(L$3=12,0.1*$G51,""),IF(2026-L$4&lt;$C51,"",L$4*$G51))</f>
        <v/>
      </c>
      <c r="M51" s="19" t="str">
        <f>IF(2026-M$3&gt;IF($D51="",2026,$D51),IF(M$3=12,0.1*$G51,""),IF(2026-M$4&lt;$C51,"",M$4*$G51))</f>
        <v/>
      </c>
      <c r="N51" s="19" t="str">
        <f>IF(2026-N$3&gt;IF($D51="",2026,$D51),IF(N$3=12,0.1*$G51,""),IF(2026-N$4&lt;$C51,"",N$4*$G51))</f>
        <v/>
      </c>
      <c r="O51" s="19" t="str">
        <f>IF(2026-O$3&gt;IF($D51="",2026,$D51),IF(O$3=12,0.1*$G51,""),IF(2026-O$4&lt;$C51,"",O$4*$G51))</f>
        <v/>
      </c>
      <c r="P51" s="19" t="str">
        <f>IF(2026-P$3&gt;IF($D51="",2026,$D51),IF(P$3=12,0.1*$G51,""),IF(2026-P$4&lt;$C51,"",P$4*$G51))</f>
        <v/>
      </c>
      <c r="Q51" s="19" t="str">
        <f>IF(2026-Q$3&gt;IF($D51="",2026,$D51),IF(Q$3=12,0.1*$G51,""),IF(2026-Q$4&lt;$C51,"",Q$4*$G51))</f>
        <v/>
      </c>
      <c r="R51" s="19" t="str">
        <f>IF(2026-R$3&gt;IF($D51="",2026,$D51),IF(R$3=12,0.1*$G51,""),IF(2026-R$4&lt;$C51,"",R$4*$G51))</f>
        <v/>
      </c>
      <c r="S51" s="19" t="str">
        <f>IF(2026-S$3&gt;IF($D51="",2026,$D51),IF(S$3=12,0.1*$G51,""),IF(2026-S$4&lt;$C51,"",S$4*$G51))</f>
        <v/>
      </c>
      <c r="T51" s="19" t="str">
        <f>IF(2026-T$3&gt;IF($D51="",2026,$D51),IF(T$3=12,0.1*$G51,""),IF(2026-T$4&lt;$C51,"",T$4*$G51))</f>
        <v/>
      </c>
    </row>
    <row r="52" spans="1:20" s="18" customFormat="1" ht="12" customHeight="1" x14ac:dyDescent="0.2">
      <c r="A52" s="17"/>
      <c r="B52" s="16" t="s">
        <v>385</v>
      </c>
      <c r="C52" s="13">
        <v>2008</v>
      </c>
      <c r="D52" s="13">
        <v>2013</v>
      </c>
      <c r="E52" s="13">
        <v>3800</v>
      </c>
      <c r="F52" s="13">
        <v>408</v>
      </c>
      <c r="G52" s="21">
        <v>102300</v>
      </c>
      <c r="H52" s="20"/>
      <c r="I52" s="19">
        <f>IF(2026-I$3&gt;IF($D52="",2026,$D52),IF(I$3=12,0.1*$G52,""),IF(2026-I$4&lt;$C52,"",I$4*$G52))</f>
        <v>10230</v>
      </c>
      <c r="J52" s="19" t="str">
        <f>IF(2026-J$3&gt;IF($D52="",2026,$D52),IF(J$3=12,0.1*$G52,""),IF(2026-J$4&lt;$C52,"",J$4*$G52))</f>
        <v/>
      </c>
      <c r="K52" s="19" t="str">
        <f>IF(2026-K$3&gt;IF($D52="",2026,$D52),IF(K$3=12,0.1*$G52,""),IF(2026-K$4&lt;$C52,"",K$4*$G52))</f>
        <v/>
      </c>
      <c r="L52" s="19" t="str">
        <f>IF(2026-L$3&gt;IF($D52="",2026,$D52),IF(L$3=12,0.1*$G52,""),IF(2026-L$4&lt;$C52,"",L$4*$G52))</f>
        <v/>
      </c>
      <c r="M52" s="19" t="str">
        <f>IF(2026-M$3&gt;IF($D52="",2026,$D52),IF(M$3=12,0.1*$G52,""),IF(2026-M$4&lt;$C52,"",M$4*$G52))</f>
        <v/>
      </c>
      <c r="N52" s="19" t="str">
        <f>IF(2026-N$3&gt;IF($D52="",2026,$D52),IF(N$3=12,0.1*$G52,""),IF(2026-N$4&lt;$C52,"",N$4*$G52))</f>
        <v/>
      </c>
      <c r="O52" s="19" t="str">
        <f>IF(2026-O$3&gt;IF($D52="",2026,$D52),IF(O$3=12,0.1*$G52,""),IF(2026-O$4&lt;$C52,"",O$4*$G52))</f>
        <v/>
      </c>
      <c r="P52" s="19" t="str">
        <f>IF(2026-P$3&gt;IF($D52="",2026,$D52),IF(P$3=12,0.1*$G52,""),IF(2026-P$4&lt;$C52,"",P$4*$G52))</f>
        <v/>
      </c>
      <c r="Q52" s="19" t="str">
        <f>IF(2026-Q$3&gt;IF($D52="",2026,$D52),IF(Q$3=12,0.1*$G52,""),IF(2026-Q$4&lt;$C52,"",Q$4*$G52))</f>
        <v/>
      </c>
      <c r="R52" s="19" t="str">
        <f>IF(2026-R$3&gt;IF($D52="",2026,$D52),IF(R$3=12,0.1*$G52,""),IF(2026-R$4&lt;$C52,"",R$4*$G52))</f>
        <v/>
      </c>
      <c r="S52" s="19" t="str">
        <f>IF(2026-S$3&gt;IF($D52="",2026,$D52),IF(S$3=12,0.1*$G52,""),IF(2026-S$4&lt;$C52,"",S$4*$G52))</f>
        <v/>
      </c>
      <c r="T52" s="19" t="str">
        <f>IF(2026-T$3&gt;IF($D52="",2026,$D52),IF(T$3=12,0.1*$G52,""),IF(2026-T$4&lt;$C52,"",T$4*$G52))</f>
        <v/>
      </c>
    </row>
    <row r="53" spans="1:20" s="18" customFormat="1" ht="12" customHeight="1" x14ac:dyDescent="0.2">
      <c r="A53" s="17"/>
      <c r="B53" s="16" t="s">
        <v>384</v>
      </c>
      <c r="C53" s="13">
        <v>2008</v>
      </c>
      <c r="D53" s="13">
        <v>2013</v>
      </c>
      <c r="E53" s="13">
        <v>3800</v>
      </c>
      <c r="F53" s="13">
        <v>408</v>
      </c>
      <c r="G53" s="21">
        <v>105200</v>
      </c>
      <c r="H53" s="20"/>
      <c r="I53" s="19">
        <f>IF(2026-I$3&gt;IF($D53="",2026,$D53),IF(I$3=12,0.1*$G53,""),IF(2026-I$4&lt;$C53,"",I$4*$G53))</f>
        <v>10520</v>
      </c>
      <c r="J53" s="19" t="str">
        <f>IF(2026-J$3&gt;IF($D53="",2026,$D53),IF(J$3=12,0.1*$G53,""),IF(2026-J$4&lt;$C53,"",J$4*$G53))</f>
        <v/>
      </c>
      <c r="K53" s="19" t="str">
        <f>IF(2026-K$3&gt;IF($D53="",2026,$D53),IF(K$3=12,0.1*$G53,""),IF(2026-K$4&lt;$C53,"",K$4*$G53))</f>
        <v/>
      </c>
      <c r="L53" s="19" t="str">
        <f>IF(2026-L$3&gt;IF($D53="",2026,$D53),IF(L$3=12,0.1*$G53,""),IF(2026-L$4&lt;$C53,"",L$4*$G53))</f>
        <v/>
      </c>
      <c r="M53" s="19" t="str">
        <f>IF(2026-M$3&gt;IF($D53="",2026,$D53),IF(M$3=12,0.1*$G53,""),IF(2026-M$4&lt;$C53,"",M$4*$G53))</f>
        <v/>
      </c>
      <c r="N53" s="19" t="str">
        <f>IF(2026-N$3&gt;IF($D53="",2026,$D53),IF(N$3=12,0.1*$G53,""),IF(2026-N$4&lt;$C53,"",N$4*$G53))</f>
        <v/>
      </c>
      <c r="O53" s="19" t="str">
        <f>IF(2026-O$3&gt;IF($D53="",2026,$D53),IF(O$3=12,0.1*$G53,""),IF(2026-O$4&lt;$C53,"",O$4*$G53))</f>
        <v/>
      </c>
      <c r="P53" s="19" t="str">
        <f>IF(2026-P$3&gt;IF($D53="",2026,$D53),IF(P$3=12,0.1*$G53,""),IF(2026-P$4&lt;$C53,"",P$4*$G53))</f>
        <v/>
      </c>
      <c r="Q53" s="19" t="str">
        <f>IF(2026-Q$3&gt;IF($D53="",2026,$D53),IF(Q$3=12,0.1*$G53,""),IF(2026-Q$4&lt;$C53,"",Q$4*$G53))</f>
        <v/>
      </c>
      <c r="R53" s="19" t="str">
        <f>IF(2026-R$3&gt;IF($D53="",2026,$D53),IF(R$3=12,0.1*$G53,""),IF(2026-R$4&lt;$C53,"",R$4*$G53))</f>
        <v/>
      </c>
      <c r="S53" s="19" t="str">
        <f>IF(2026-S$3&gt;IF($D53="",2026,$D53),IF(S$3=12,0.1*$G53,""),IF(2026-S$4&lt;$C53,"",S$4*$G53))</f>
        <v/>
      </c>
      <c r="T53" s="19" t="str">
        <f>IF(2026-T$3&gt;IF($D53="",2026,$D53),IF(T$3=12,0.1*$G53,""),IF(2026-T$4&lt;$C53,"",T$4*$G53))</f>
        <v/>
      </c>
    </row>
    <row r="54" spans="1:20" s="18" customFormat="1" ht="12" customHeight="1" x14ac:dyDescent="0.2">
      <c r="A54" s="17"/>
      <c r="B54" s="16" t="s">
        <v>383</v>
      </c>
      <c r="C54" s="13">
        <v>2008</v>
      </c>
      <c r="D54" s="13">
        <v>2013</v>
      </c>
      <c r="E54" s="13">
        <v>3800</v>
      </c>
      <c r="F54" s="13">
        <v>408</v>
      </c>
      <c r="G54" s="21">
        <v>96100</v>
      </c>
      <c r="H54" s="20"/>
      <c r="I54" s="19">
        <f>IF(2026-I$3&gt;IF($D54="",2026,$D54),IF(I$3=12,0.1*$G54,""),IF(2026-I$4&lt;$C54,"",I$4*$G54))</f>
        <v>9610</v>
      </c>
      <c r="J54" s="19" t="str">
        <f>IF(2026-J$3&gt;IF($D54="",2026,$D54),IF(J$3=12,0.1*$G54,""),IF(2026-J$4&lt;$C54,"",J$4*$G54))</f>
        <v/>
      </c>
      <c r="K54" s="19" t="str">
        <f>IF(2026-K$3&gt;IF($D54="",2026,$D54),IF(K$3=12,0.1*$G54,""),IF(2026-K$4&lt;$C54,"",K$4*$G54))</f>
        <v/>
      </c>
      <c r="L54" s="19" t="str">
        <f>IF(2026-L$3&gt;IF($D54="",2026,$D54),IF(L$3=12,0.1*$G54,""),IF(2026-L$4&lt;$C54,"",L$4*$G54))</f>
        <v/>
      </c>
      <c r="M54" s="19" t="str">
        <f>IF(2026-M$3&gt;IF($D54="",2026,$D54),IF(M$3=12,0.1*$G54,""),IF(2026-M$4&lt;$C54,"",M$4*$G54))</f>
        <v/>
      </c>
      <c r="N54" s="19" t="str">
        <f>IF(2026-N$3&gt;IF($D54="",2026,$D54),IF(N$3=12,0.1*$G54,""),IF(2026-N$4&lt;$C54,"",N$4*$G54))</f>
        <v/>
      </c>
      <c r="O54" s="19" t="str">
        <f>IF(2026-O$3&gt;IF($D54="",2026,$D54),IF(O$3=12,0.1*$G54,""),IF(2026-O$4&lt;$C54,"",O$4*$G54))</f>
        <v/>
      </c>
      <c r="P54" s="19" t="str">
        <f>IF(2026-P$3&gt;IF($D54="",2026,$D54),IF(P$3=12,0.1*$G54,""),IF(2026-P$4&lt;$C54,"",P$4*$G54))</f>
        <v/>
      </c>
      <c r="Q54" s="19" t="str">
        <f>IF(2026-Q$3&gt;IF($D54="",2026,$D54),IF(Q$3=12,0.1*$G54,""),IF(2026-Q$4&lt;$C54,"",Q$4*$G54))</f>
        <v/>
      </c>
      <c r="R54" s="19" t="str">
        <f>IF(2026-R$3&gt;IF($D54="",2026,$D54),IF(R$3=12,0.1*$G54,""),IF(2026-R$4&lt;$C54,"",R$4*$G54))</f>
        <v/>
      </c>
      <c r="S54" s="19" t="str">
        <f>IF(2026-S$3&gt;IF($D54="",2026,$D54),IF(S$3=12,0.1*$G54,""),IF(2026-S$4&lt;$C54,"",S$4*$G54))</f>
        <v/>
      </c>
      <c r="T54" s="19" t="str">
        <f>IF(2026-T$3&gt;IF($D54="",2026,$D54),IF(T$3=12,0.1*$G54,""),IF(2026-T$4&lt;$C54,"",T$4*$G54))</f>
        <v/>
      </c>
    </row>
    <row r="55" spans="1:20" s="18" customFormat="1" ht="12" customHeight="1" x14ac:dyDescent="0.2">
      <c r="A55" s="17"/>
      <c r="B55" s="16" t="s">
        <v>382</v>
      </c>
      <c r="C55" s="13">
        <v>2008</v>
      </c>
      <c r="D55" s="13">
        <v>2013</v>
      </c>
      <c r="E55" s="13">
        <v>3800</v>
      </c>
      <c r="F55" s="13">
        <v>408</v>
      </c>
      <c r="G55" s="21">
        <v>180900</v>
      </c>
      <c r="H55" s="20"/>
      <c r="I55" s="19">
        <f>IF(2026-I$3&gt;IF($D55="",2026,$D55),IF(I$3=12,0.1*$G55,""),IF(2026-I$4&lt;$C55,"",I$4*$G55))</f>
        <v>18090</v>
      </c>
      <c r="J55" s="19" t="str">
        <f>IF(2026-J$3&gt;IF($D55="",2026,$D55),IF(J$3=12,0.1*$G55,""),IF(2026-J$4&lt;$C55,"",J$4*$G55))</f>
        <v/>
      </c>
      <c r="K55" s="19" t="str">
        <f>IF(2026-K$3&gt;IF($D55="",2026,$D55),IF(K$3=12,0.1*$G55,""),IF(2026-K$4&lt;$C55,"",K$4*$G55))</f>
        <v/>
      </c>
      <c r="L55" s="19" t="str">
        <f>IF(2026-L$3&gt;IF($D55="",2026,$D55),IF(L$3=12,0.1*$G55,""),IF(2026-L$4&lt;$C55,"",L$4*$G55))</f>
        <v/>
      </c>
      <c r="M55" s="19" t="str">
        <f>IF(2026-M$3&gt;IF($D55="",2026,$D55),IF(M$3=12,0.1*$G55,""),IF(2026-M$4&lt;$C55,"",M$4*$G55))</f>
        <v/>
      </c>
      <c r="N55" s="19" t="str">
        <f>IF(2026-N$3&gt;IF($D55="",2026,$D55),IF(N$3=12,0.1*$G55,""),IF(2026-N$4&lt;$C55,"",N$4*$G55))</f>
        <v/>
      </c>
      <c r="O55" s="19" t="str">
        <f>IF(2026-O$3&gt;IF($D55="",2026,$D55),IF(O$3=12,0.1*$G55,""),IF(2026-O$4&lt;$C55,"",O$4*$G55))</f>
        <v/>
      </c>
      <c r="P55" s="19" t="str">
        <f>IF(2026-P$3&gt;IF($D55="",2026,$D55),IF(P$3=12,0.1*$G55,""),IF(2026-P$4&lt;$C55,"",P$4*$G55))</f>
        <v/>
      </c>
      <c r="Q55" s="19" t="str">
        <f>IF(2026-Q$3&gt;IF($D55="",2026,$D55),IF(Q$3=12,0.1*$G55,""),IF(2026-Q$4&lt;$C55,"",Q$4*$G55))</f>
        <v/>
      </c>
      <c r="R55" s="19" t="str">
        <f>IF(2026-R$3&gt;IF($D55="",2026,$D55),IF(R$3=12,0.1*$G55,""),IF(2026-R$4&lt;$C55,"",R$4*$G55))</f>
        <v/>
      </c>
      <c r="S55" s="19" t="str">
        <f>IF(2026-S$3&gt;IF($D55="",2026,$D55),IF(S$3=12,0.1*$G55,""),IF(2026-S$4&lt;$C55,"",S$4*$G55))</f>
        <v/>
      </c>
      <c r="T55" s="19" t="str">
        <f>IF(2026-T$3&gt;IF($D55="",2026,$D55),IF(T$3=12,0.1*$G55,""),IF(2026-T$4&lt;$C55,"",T$4*$G55))</f>
        <v/>
      </c>
    </row>
    <row r="56" spans="1:20" s="18" customFormat="1" ht="12" customHeight="1" x14ac:dyDescent="0.2">
      <c r="A56" s="17"/>
      <c r="B56" s="16" t="s">
        <v>381</v>
      </c>
      <c r="C56" s="13">
        <v>2008</v>
      </c>
      <c r="D56" s="13">
        <v>2013</v>
      </c>
      <c r="E56" s="13">
        <v>3797</v>
      </c>
      <c r="F56" s="13">
        <v>435</v>
      </c>
      <c r="G56" s="21">
        <v>105300</v>
      </c>
      <c r="H56" s="20"/>
      <c r="I56" s="19">
        <f>IF(2026-I$3&gt;IF($D56="",2026,$D56),IF(I$3=12,0.1*$G56,""),IF(2026-I$4&lt;$C56,"",I$4*$G56))</f>
        <v>10530</v>
      </c>
      <c r="J56" s="19" t="str">
        <f>IF(2026-J$3&gt;IF($D56="",2026,$D56),IF(J$3=12,0.1*$G56,""),IF(2026-J$4&lt;$C56,"",J$4*$G56))</f>
        <v/>
      </c>
      <c r="K56" s="19" t="str">
        <f>IF(2026-K$3&gt;IF($D56="",2026,$D56),IF(K$3=12,0.1*$G56,""),IF(2026-K$4&lt;$C56,"",K$4*$G56))</f>
        <v/>
      </c>
      <c r="L56" s="19" t="str">
        <f>IF(2026-L$3&gt;IF($D56="",2026,$D56),IF(L$3=12,0.1*$G56,""),IF(2026-L$4&lt;$C56,"",L$4*$G56))</f>
        <v/>
      </c>
      <c r="M56" s="19" t="str">
        <f>IF(2026-M$3&gt;IF($D56="",2026,$D56),IF(M$3=12,0.1*$G56,""),IF(2026-M$4&lt;$C56,"",M$4*$G56))</f>
        <v/>
      </c>
      <c r="N56" s="19" t="str">
        <f>IF(2026-N$3&gt;IF($D56="",2026,$D56),IF(N$3=12,0.1*$G56,""),IF(2026-N$4&lt;$C56,"",N$4*$G56))</f>
        <v/>
      </c>
      <c r="O56" s="19" t="str">
        <f>IF(2026-O$3&gt;IF($D56="",2026,$D56),IF(O$3=12,0.1*$G56,""),IF(2026-O$4&lt;$C56,"",O$4*$G56))</f>
        <v/>
      </c>
      <c r="P56" s="19" t="str">
        <f>IF(2026-P$3&gt;IF($D56="",2026,$D56),IF(P$3=12,0.1*$G56,""),IF(2026-P$4&lt;$C56,"",P$4*$G56))</f>
        <v/>
      </c>
      <c r="Q56" s="19" t="str">
        <f>IF(2026-Q$3&gt;IF($D56="",2026,$D56),IF(Q$3=12,0.1*$G56,""),IF(2026-Q$4&lt;$C56,"",Q$4*$G56))</f>
        <v/>
      </c>
      <c r="R56" s="19" t="str">
        <f>IF(2026-R$3&gt;IF($D56="",2026,$D56),IF(R$3=12,0.1*$G56,""),IF(2026-R$4&lt;$C56,"",R$4*$G56))</f>
        <v/>
      </c>
      <c r="S56" s="19" t="str">
        <f>IF(2026-S$3&gt;IF($D56="",2026,$D56),IF(S$3=12,0.1*$G56,""),IF(2026-S$4&lt;$C56,"",S$4*$G56))</f>
        <v/>
      </c>
      <c r="T56" s="19" t="str">
        <f>IF(2026-T$3&gt;IF($D56="",2026,$D56),IF(T$3=12,0.1*$G56,""),IF(2026-T$4&lt;$C56,"",T$4*$G56))</f>
        <v/>
      </c>
    </row>
    <row r="57" spans="1:20" s="18" customFormat="1" ht="12" customHeight="1" x14ac:dyDescent="0.2">
      <c r="A57" s="17"/>
      <c r="B57" s="16" t="s">
        <v>380</v>
      </c>
      <c r="C57" s="13">
        <v>2008</v>
      </c>
      <c r="D57" s="13">
        <v>2013</v>
      </c>
      <c r="E57" s="13">
        <v>3797</v>
      </c>
      <c r="F57" s="13">
        <v>450</v>
      </c>
      <c r="G57" s="21">
        <v>131100</v>
      </c>
      <c r="H57" s="20"/>
      <c r="I57" s="19">
        <f>IF(2026-I$3&gt;IF($D57="",2026,$D57),IF(I$3=12,0.1*$G57,""),IF(2026-I$4&lt;$C57,"",I$4*$G57))</f>
        <v>13110</v>
      </c>
      <c r="J57" s="19" t="str">
        <f>IF(2026-J$3&gt;IF($D57="",2026,$D57),IF(J$3=12,0.1*$G57,""),IF(2026-J$4&lt;$C57,"",J$4*$G57))</f>
        <v/>
      </c>
      <c r="K57" s="19" t="str">
        <f>IF(2026-K$3&gt;IF($D57="",2026,$D57),IF(K$3=12,0.1*$G57,""),IF(2026-K$4&lt;$C57,"",K$4*$G57))</f>
        <v/>
      </c>
      <c r="L57" s="19" t="str">
        <f>IF(2026-L$3&gt;IF($D57="",2026,$D57),IF(L$3=12,0.1*$G57,""),IF(2026-L$4&lt;$C57,"",L$4*$G57))</f>
        <v/>
      </c>
      <c r="M57" s="19" t="str">
        <f>IF(2026-M$3&gt;IF($D57="",2026,$D57),IF(M$3=12,0.1*$G57,""),IF(2026-M$4&lt;$C57,"",M$4*$G57))</f>
        <v/>
      </c>
      <c r="N57" s="19" t="str">
        <f>IF(2026-N$3&gt;IF($D57="",2026,$D57),IF(N$3=12,0.1*$G57,""),IF(2026-N$4&lt;$C57,"",N$4*$G57))</f>
        <v/>
      </c>
      <c r="O57" s="19" t="str">
        <f>IF(2026-O$3&gt;IF($D57="",2026,$D57),IF(O$3=12,0.1*$G57,""),IF(2026-O$4&lt;$C57,"",O$4*$G57))</f>
        <v/>
      </c>
      <c r="P57" s="19" t="str">
        <f>IF(2026-P$3&gt;IF($D57="",2026,$D57),IF(P$3=12,0.1*$G57,""),IF(2026-P$4&lt;$C57,"",P$4*$G57))</f>
        <v/>
      </c>
      <c r="Q57" s="19" t="str">
        <f>IF(2026-Q$3&gt;IF($D57="",2026,$D57),IF(Q$3=12,0.1*$G57,""),IF(2026-Q$4&lt;$C57,"",Q$4*$G57))</f>
        <v/>
      </c>
      <c r="R57" s="19" t="str">
        <f>IF(2026-R$3&gt;IF($D57="",2026,$D57),IF(R$3=12,0.1*$G57,""),IF(2026-R$4&lt;$C57,"",R$4*$G57))</f>
        <v/>
      </c>
      <c r="S57" s="19" t="str">
        <f>IF(2026-S$3&gt;IF($D57="",2026,$D57),IF(S$3=12,0.1*$G57,""),IF(2026-S$4&lt;$C57,"",S$4*$G57))</f>
        <v/>
      </c>
      <c r="T57" s="19" t="str">
        <f>IF(2026-T$3&gt;IF($D57="",2026,$D57),IF(T$3=12,0.1*$G57,""),IF(2026-T$4&lt;$C57,"",T$4*$G57))</f>
        <v/>
      </c>
    </row>
    <row r="58" spans="1:20" s="18" customFormat="1" ht="12" customHeight="1" x14ac:dyDescent="0.2">
      <c r="A58" s="17"/>
      <c r="B58" s="16" t="s">
        <v>379</v>
      </c>
      <c r="C58" s="13">
        <v>2008</v>
      </c>
      <c r="D58" s="13">
        <v>2013</v>
      </c>
      <c r="E58" s="13">
        <v>3996</v>
      </c>
      <c r="F58" s="13">
        <v>500</v>
      </c>
      <c r="G58" s="21">
        <v>162700</v>
      </c>
      <c r="H58" s="20"/>
      <c r="I58" s="19">
        <f>IF(2026-I$3&gt;IF($D58="",2026,$D58),IF(I$3=12,0.1*$G58,""),IF(2026-I$4&lt;$C58,"",I$4*$G58))</f>
        <v>16270</v>
      </c>
      <c r="J58" s="19" t="str">
        <f>IF(2026-J$3&gt;IF($D58="",2026,$D58),IF(J$3=12,0.1*$G58,""),IF(2026-J$4&lt;$C58,"",J$4*$G58))</f>
        <v/>
      </c>
      <c r="K58" s="19" t="str">
        <f>IF(2026-K$3&gt;IF($D58="",2026,$D58),IF(K$3=12,0.1*$G58,""),IF(2026-K$4&lt;$C58,"",K$4*$G58))</f>
        <v/>
      </c>
      <c r="L58" s="19" t="str">
        <f>IF(2026-L$3&gt;IF($D58="",2026,$D58),IF(L$3=12,0.1*$G58,""),IF(2026-L$4&lt;$C58,"",L$4*$G58))</f>
        <v/>
      </c>
      <c r="M58" s="19" t="str">
        <f>IF(2026-M$3&gt;IF($D58="",2026,$D58),IF(M$3=12,0.1*$G58,""),IF(2026-M$4&lt;$C58,"",M$4*$G58))</f>
        <v/>
      </c>
      <c r="N58" s="19" t="str">
        <f>IF(2026-N$3&gt;IF($D58="",2026,$D58),IF(N$3=12,0.1*$G58,""),IF(2026-N$4&lt;$C58,"",N$4*$G58))</f>
        <v/>
      </c>
      <c r="O58" s="19" t="str">
        <f>IF(2026-O$3&gt;IF($D58="",2026,$D58),IF(O$3=12,0.1*$G58,""),IF(2026-O$4&lt;$C58,"",O$4*$G58))</f>
        <v/>
      </c>
      <c r="P58" s="19" t="str">
        <f>IF(2026-P$3&gt;IF($D58="",2026,$D58),IF(P$3=12,0.1*$G58,""),IF(2026-P$4&lt;$C58,"",P$4*$G58))</f>
        <v/>
      </c>
      <c r="Q58" s="19" t="str">
        <f>IF(2026-Q$3&gt;IF($D58="",2026,$D58),IF(Q$3=12,0.1*$G58,""),IF(2026-Q$4&lt;$C58,"",Q$4*$G58))</f>
        <v/>
      </c>
      <c r="R58" s="19" t="str">
        <f>IF(2026-R$3&gt;IF($D58="",2026,$D58),IF(R$3=12,0.1*$G58,""),IF(2026-R$4&lt;$C58,"",R$4*$G58))</f>
        <v/>
      </c>
      <c r="S58" s="19" t="str">
        <f>IF(2026-S$3&gt;IF($D58="",2026,$D58),IF(S$3=12,0.1*$G58,""),IF(2026-S$4&lt;$C58,"",S$4*$G58))</f>
        <v/>
      </c>
      <c r="T58" s="19" t="str">
        <f>IF(2026-T$3&gt;IF($D58="",2026,$D58),IF(T$3=12,0.1*$G58,""),IF(2026-T$4&lt;$C58,"",T$4*$G58))</f>
        <v/>
      </c>
    </row>
    <row r="59" spans="1:20" s="18" customFormat="1" ht="12" customHeight="1" x14ac:dyDescent="0.2">
      <c r="A59" s="17"/>
      <c r="B59" s="16" t="s">
        <v>378</v>
      </c>
      <c r="C59" s="13">
        <v>2008</v>
      </c>
      <c r="D59" s="13">
        <v>2013</v>
      </c>
      <c r="E59" s="13">
        <v>3800</v>
      </c>
      <c r="F59" s="13">
        <v>500</v>
      </c>
      <c r="G59" s="21">
        <v>141100</v>
      </c>
      <c r="H59" s="20"/>
      <c r="I59" s="19">
        <f>IF(2026-I$3&gt;IF($D59="",2026,$D59),IF(I$3=12,0.1*$G59,""),IF(2026-I$4&lt;$C59,"",I$4*$G59))</f>
        <v>14110</v>
      </c>
      <c r="J59" s="19" t="str">
        <f>IF(2026-J$3&gt;IF($D59="",2026,$D59),IF(J$3=12,0.1*$G59,""),IF(2026-J$4&lt;$C59,"",J$4*$G59))</f>
        <v/>
      </c>
      <c r="K59" s="19" t="str">
        <f>IF(2026-K$3&gt;IF($D59="",2026,$D59),IF(K$3=12,0.1*$G59,""),IF(2026-K$4&lt;$C59,"",K$4*$G59))</f>
        <v/>
      </c>
      <c r="L59" s="19" t="str">
        <f>IF(2026-L$3&gt;IF($D59="",2026,$D59),IF(L$3=12,0.1*$G59,""),IF(2026-L$4&lt;$C59,"",L$4*$G59))</f>
        <v/>
      </c>
      <c r="M59" s="19" t="str">
        <f>IF(2026-M$3&gt;IF($D59="",2026,$D59),IF(M$3=12,0.1*$G59,""),IF(2026-M$4&lt;$C59,"",M$4*$G59))</f>
        <v/>
      </c>
      <c r="N59" s="19" t="str">
        <f>IF(2026-N$3&gt;IF($D59="",2026,$D59),IF(N$3=12,0.1*$G59,""),IF(2026-N$4&lt;$C59,"",N$4*$G59))</f>
        <v/>
      </c>
      <c r="O59" s="19" t="str">
        <f>IF(2026-O$3&gt;IF($D59="",2026,$D59),IF(O$3=12,0.1*$G59,""),IF(2026-O$4&lt;$C59,"",O$4*$G59))</f>
        <v/>
      </c>
      <c r="P59" s="19" t="str">
        <f>IF(2026-P$3&gt;IF($D59="",2026,$D59),IF(P$3=12,0.1*$G59,""),IF(2026-P$4&lt;$C59,"",P$4*$G59))</f>
        <v/>
      </c>
      <c r="Q59" s="19" t="str">
        <f>IF(2026-Q$3&gt;IF($D59="",2026,$D59),IF(Q$3=12,0.1*$G59,""),IF(2026-Q$4&lt;$C59,"",Q$4*$G59))</f>
        <v/>
      </c>
      <c r="R59" s="19" t="str">
        <f>IF(2026-R$3&gt;IF($D59="",2026,$D59),IF(R$3=12,0.1*$G59,""),IF(2026-R$4&lt;$C59,"",R$4*$G59))</f>
        <v/>
      </c>
      <c r="S59" s="19" t="str">
        <f>IF(2026-S$3&gt;IF($D59="",2026,$D59),IF(S$3=12,0.1*$G59,""),IF(2026-S$4&lt;$C59,"",S$4*$G59))</f>
        <v/>
      </c>
      <c r="T59" s="19" t="str">
        <f>IF(2026-T$3&gt;IF($D59="",2026,$D59),IF(T$3=12,0.1*$G59,""),IF(2026-T$4&lt;$C59,"",T$4*$G59))</f>
        <v/>
      </c>
    </row>
    <row r="60" spans="1:20" s="18" customFormat="1" ht="12" customHeight="1" x14ac:dyDescent="0.2">
      <c r="A60" s="17"/>
      <c r="B60" s="16" t="s">
        <v>377</v>
      </c>
      <c r="C60" s="13">
        <v>2008</v>
      </c>
      <c r="D60" s="13">
        <v>2013</v>
      </c>
      <c r="E60" s="13">
        <v>3800</v>
      </c>
      <c r="F60" s="13">
        <v>500</v>
      </c>
      <c r="G60" s="21">
        <v>131100</v>
      </c>
      <c r="H60" s="20"/>
      <c r="I60" s="19">
        <f>IF(2026-I$3&gt;IF($D60="",2026,$D60),IF(I$3=12,0.1*$G60,""),IF(2026-I$4&lt;$C60,"",I$4*$G60))</f>
        <v>13110</v>
      </c>
      <c r="J60" s="19" t="str">
        <f>IF(2026-J$3&gt;IF($D60="",2026,$D60),IF(J$3=12,0.1*$G60,""),IF(2026-J$4&lt;$C60,"",J$4*$G60))</f>
        <v/>
      </c>
      <c r="K60" s="19" t="str">
        <f>IF(2026-K$3&gt;IF($D60="",2026,$D60),IF(K$3=12,0.1*$G60,""),IF(2026-K$4&lt;$C60,"",K$4*$G60))</f>
        <v/>
      </c>
      <c r="L60" s="19" t="str">
        <f>IF(2026-L$3&gt;IF($D60="",2026,$D60),IF(L$3=12,0.1*$G60,""),IF(2026-L$4&lt;$C60,"",L$4*$G60))</f>
        <v/>
      </c>
      <c r="M60" s="19" t="str">
        <f>IF(2026-M$3&gt;IF($D60="",2026,$D60),IF(M$3=12,0.1*$G60,""),IF(2026-M$4&lt;$C60,"",M$4*$G60))</f>
        <v/>
      </c>
      <c r="N60" s="19" t="str">
        <f>IF(2026-N$3&gt;IF($D60="",2026,$D60),IF(N$3=12,0.1*$G60,""),IF(2026-N$4&lt;$C60,"",N$4*$G60))</f>
        <v/>
      </c>
      <c r="O60" s="19" t="str">
        <f>IF(2026-O$3&gt;IF($D60="",2026,$D60),IF(O$3=12,0.1*$G60,""),IF(2026-O$4&lt;$C60,"",O$4*$G60))</f>
        <v/>
      </c>
      <c r="P60" s="19" t="str">
        <f>IF(2026-P$3&gt;IF($D60="",2026,$D60),IF(P$3=12,0.1*$G60,""),IF(2026-P$4&lt;$C60,"",P$4*$G60))</f>
        <v/>
      </c>
      <c r="Q60" s="19" t="str">
        <f>IF(2026-Q$3&gt;IF($D60="",2026,$D60),IF(Q$3=12,0.1*$G60,""),IF(2026-Q$4&lt;$C60,"",Q$4*$G60))</f>
        <v/>
      </c>
      <c r="R60" s="19" t="str">
        <f>IF(2026-R$3&gt;IF($D60="",2026,$D60),IF(R$3=12,0.1*$G60,""),IF(2026-R$4&lt;$C60,"",R$4*$G60))</f>
        <v/>
      </c>
      <c r="S60" s="19" t="str">
        <f>IF(2026-S$3&gt;IF($D60="",2026,$D60),IF(S$3=12,0.1*$G60,""),IF(2026-S$4&lt;$C60,"",S$4*$G60))</f>
        <v/>
      </c>
      <c r="T60" s="19" t="str">
        <f>IF(2026-T$3&gt;IF($D60="",2026,$D60),IF(T$3=12,0.1*$G60,""),IF(2026-T$4&lt;$C60,"",T$4*$G60))</f>
        <v/>
      </c>
    </row>
    <row r="61" spans="1:20" s="18" customFormat="1" ht="12" customHeight="1" x14ac:dyDescent="0.2">
      <c r="A61" s="17"/>
      <c r="B61" s="16" t="s">
        <v>376</v>
      </c>
      <c r="C61" s="13">
        <v>2008</v>
      </c>
      <c r="D61" s="13">
        <v>2013</v>
      </c>
      <c r="E61" s="13">
        <v>3800</v>
      </c>
      <c r="F61" s="13">
        <v>530</v>
      </c>
      <c r="G61" s="21">
        <v>165500</v>
      </c>
      <c r="H61" s="20"/>
      <c r="I61" s="19">
        <f>IF(2026-I$3&gt;IF($D61="",2026,$D61),IF(I$3=12,0.1*$G61,""),IF(2026-I$4&lt;$C61,"",I$4*$G61))</f>
        <v>16550</v>
      </c>
      <c r="J61" s="19" t="str">
        <f>IF(2026-J$3&gt;IF($D61="",2026,$D61),IF(J$3=12,0.1*$G61,""),IF(2026-J$4&lt;$C61,"",J$4*$G61))</f>
        <v/>
      </c>
      <c r="K61" s="19" t="str">
        <f>IF(2026-K$3&gt;IF($D61="",2026,$D61),IF(K$3=12,0.1*$G61,""),IF(2026-K$4&lt;$C61,"",K$4*$G61))</f>
        <v/>
      </c>
      <c r="L61" s="19" t="str">
        <f>IF(2026-L$3&gt;IF($D61="",2026,$D61),IF(L$3=12,0.1*$G61,""),IF(2026-L$4&lt;$C61,"",L$4*$G61))</f>
        <v/>
      </c>
      <c r="M61" s="19" t="str">
        <f>IF(2026-M$3&gt;IF($D61="",2026,$D61),IF(M$3=12,0.1*$G61,""),IF(2026-M$4&lt;$C61,"",M$4*$G61))</f>
        <v/>
      </c>
      <c r="N61" s="19" t="str">
        <f>IF(2026-N$3&gt;IF($D61="",2026,$D61),IF(N$3=12,0.1*$G61,""),IF(2026-N$4&lt;$C61,"",N$4*$G61))</f>
        <v/>
      </c>
      <c r="O61" s="19" t="str">
        <f>IF(2026-O$3&gt;IF($D61="",2026,$D61),IF(O$3=12,0.1*$G61,""),IF(2026-O$4&lt;$C61,"",O$4*$G61))</f>
        <v/>
      </c>
      <c r="P61" s="19" t="str">
        <f>IF(2026-P$3&gt;IF($D61="",2026,$D61),IF(P$3=12,0.1*$G61,""),IF(2026-P$4&lt;$C61,"",P$4*$G61))</f>
        <v/>
      </c>
      <c r="Q61" s="19" t="str">
        <f>IF(2026-Q$3&gt;IF($D61="",2026,$D61),IF(Q$3=12,0.1*$G61,""),IF(2026-Q$4&lt;$C61,"",Q$4*$G61))</f>
        <v/>
      </c>
      <c r="R61" s="19" t="str">
        <f>IF(2026-R$3&gt;IF($D61="",2026,$D61),IF(R$3=12,0.1*$G61,""),IF(2026-R$4&lt;$C61,"",R$4*$G61))</f>
        <v/>
      </c>
      <c r="S61" s="19" t="str">
        <f>IF(2026-S$3&gt;IF($D61="",2026,$D61),IF(S$3=12,0.1*$G61,""),IF(2026-S$4&lt;$C61,"",S$4*$G61))</f>
        <v/>
      </c>
      <c r="T61" s="19" t="str">
        <f>IF(2026-T$3&gt;IF($D61="",2026,$D61),IF(T$3=12,0.1*$G61,""),IF(2026-T$4&lt;$C61,"",T$4*$G61))</f>
        <v/>
      </c>
    </row>
    <row r="62" spans="1:20" s="18" customFormat="1" ht="12" customHeight="1" x14ac:dyDescent="0.2">
      <c r="A62" s="17"/>
      <c r="B62" s="16" t="s">
        <v>375</v>
      </c>
      <c r="C62" s="13">
        <v>2008</v>
      </c>
      <c r="D62" s="13">
        <v>2013</v>
      </c>
      <c r="E62" s="13">
        <v>3800</v>
      </c>
      <c r="F62" s="13">
        <v>530</v>
      </c>
      <c r="G62" s="21">
        <v>155500</v>
      </c>
      <c r="H62" s="20"/>
      <c r="I62" s="19">
        <f>IF(2026-I$3&gt;IF($D62="",2026,$D62),IF(I$3=12,0.1*$G62,""),IF(2026-I$4&lt;$C62,"",I$4*$G62))</f>
        <v>15550</v>
      </c>
      <c r="J62" s="19" t="str">
        <f>IF(2026-J$3&gt;IF($D62="",2026,$D62),IF(J$3=12,0.1*$G62,""),IF(2026-J$4&lt;$C62,"",J$4*$G62))</f>
        <v/>
      </c>
      <c r="K62" s="19" t="str">
        <f>IF(2026-K$3&gt;IF($D62="",2026,$D62),IF(K$3=12,0.1*$G62,""),IF(2026-K$4&lt;$C62,"",K$4*$G62))</f>
        <v/>
      </c>
      <c r="L62" s="19" t="str">
        <f>IF(2026-L$3&gt;IF($D62="",2026,$D62),IF(L$3=12,0.1*$G62,""),IF(2026-L$4&lt;$C62,"",L$4*$G62))</f>
        <v/>
      </c>
      <c r="M62" s="19" t="str">
        <f>IF(2026-M$3&gt;IF($D62="",2026,$D62),IF(M$3=12,0.1*$G62,""),IF(2026-M$4&lt;$C62,"",M$4*$G62))</f>
        <v/>
      </c>
      <c r="N62" s="19" t="str">
        <f>IF(2026-N$3&gt;IF($D62="",2026,$D62),IF(N$3=12,0.1*$G62,""),IF(2026-N$4&lt;$C62,"",N$4*$G62))</f>
        <v/>
      </c>
      <c r="O62" s="19" t="str">
        <f>IF(2026-O$3&gt;IF($D62="",2026,$D62),IF(O$3=12,0.1*$G62,""),IF(2026-O$4&lt;$C62,"",O$4*$G62))</f>
        <v/>
      </c>
      <c r="P62" s="19" t="str">
        <f>IF(2026-P$3&gt;IF($D62="",2026,$D62),IF(P$3=12,0.1*$G62,""),IF(2026-P$4&lt;$C62,"",P$4*$G62))</f>
        <v/>
      </c>
      <c r="Q62" s="19" t="str">
        <f>IF(2026-Q$3&gt;IF($D62="",2026,$D62),IF(Q$3=12,0.1*$G62,""),IF(2026-Q$4&lt;$C62,"",Q$4*$G62))</f>
        <v/>
      </c>
      <c r="R62" s="19" t="str">
        <f>IF(2026-R$3&gt;IF($D62="",2026,$D62),IF(R$3=12,0.1*$G62,""),IF(2026-R$4&lt;$C62,"",R$4*$G62))</f>
        <v/>
      </c>
      <c r="S62" s="19" t="str">
        <f>IF(2026-S$3&gt;IF($D62="",2026,$D62),IF(S$3=12,0.1*$G62,""),IF(2026-S$4&lt;$C62,"",S$4*$G62))</f>
        <v/>
      </c>
      <c r="T62" s="19" t="str">
        <f>IF(2026-T$3&gt;IF($D62="",2026,$D62),IF(T$3=12,0.1*$G62,""),IF(2026-T$4&lt;$C62,"",T$4*$G62))</f>
        <v/>
      </c>
    </row>
    <row r="63" spans="1:20" s="18" customFormat="1" ht="12" customHeight="1" x14ac:dyDescent="0.2">
      <c r="A63" s="17"/>
      <c r="B63" s="16" t="s">
        <v>374</v>
      </c>
      <c r="C63" s="13">
        <v>2008</v>
      </c>
      <c r="D63" s="13">
        <v>2013</v>
      </c>
      <c r="E63" s="13">
        <v>3600</v>
      </c>
      <c r="F63" s="13">
        <v>620</v>
      </c>
      <c r="G63" s="21">
        <v>212700</v>
      </c>
      <c r="H63" s="20"/>
      <c r="I63" s="19">
        <f>IF(2026-I$3&gt;IF($D63="",2026,$D63),IF(I$3=12,0.1*$G63,""),IF(2026-I$4&lt;$C63,"",I$4*$G63))</f>
        <v>21270</v>
      </c>
      <c r="J63" s="19" t="str">
        <f>IF(2026-J$3&gt;IF($D63="",2026,$D63),IF(J$3=12,0.1*$G63,""),IF(2026-J$4&lt;$C63,"",J$4*$G63))</f>
        <v/>
      </c>
      <c r="K63" s="19" t="str">
        <f>IF(2026-K$3&gt;IF($D63="",2026,$D63),IF(K$3=12,0.1*$G63,""),IF(2026-K$4&lt;$C63,"",K$4*$G63))</f>
        <v/>
      </c>
      <c r="L63" s="19" t="str">
        <f>IF(2026-L$3&gt;IF($D63="",2026,$D63),IF(L$3=12,0.1*$G63,""),IF(2026-L$4&lt;$C63,"",L$4*$G63))</f>
        <v/>
      </c>
      <c r="M63" s="19" t="str">
        <f>IF(2026-M$3&gt;IF($D63="",2026,$D63),IF(M$3=12,0.1*$G63,""),IF(2026-M$4&lt;$C63,"",M$4*$G63))</f>
        <v/>
      </c>
      <c r="N63" s="19" t="str">
        <f>IF(2026-N$3&gt;IF($D63="",2026,$D63),IF(N$3=12,0.1*$G63,""),IF(2026-N$4&lt;$C63,"",N$4*$G63))</f>
        <v/>
      </c>
      <c r="O63" s="19" t="str">
        <f>IF(2026-O$3&gt;IF($D63="",2026,$D63),IF(O$3=12,0.1*$G63,""),IF(2026-O$4&lt;$C63,"",O$4*$G63))</f>
        <v/>
      </c>
      <c r="P63" s="19" t="str">
        <f>IF(2026-P$3&gt;IF($D63="",2026,$D63),IF(P$3=12,0.1*$G63,""),IF(2026-P$4&lt;$C63,"",P$4*$G63))</f>
        <v/>
      </c>
      <c r="Q63" s="19" t="str">
        <f>IF(2026-Q$3&gt;IF($D63="",2026,$D63),IF(Q$3=12,0.1*$G63,""),IF(2026-Q$4&lt;$C63,"",Q$4*$G63))</f>
        <v/>
      </c>
      <c r="R63" s="19" t="str">
        <f>IF(2026-R$3&gt;IF($D63="",2026,$D63),IF(R$3=12,0.1*$G63,""),IF(2026-R$4&lt;$C63,"",R$4*$G63))</f>
        <v/>
      </c>
      <c r="S63" s="19" t="str">
        <f>IF(2026-S$3&gt;IF($D63="",2026,$D63),IF(S$3=12,0.1*$G63,""),IF(2026-S$4&lt;$C63,"",S$4*$G63))</f>
        <v/>
      </c>
      <c r="T63" s="19" t="str">
        <f>IF(2026-T$3&gt;IF($D63="",2026,$D63),IF(T$3=12,0.1*$G63,""),IF(2026-T$4&lt;$C63,"",T$4*$G63))</f>
        <v/>
      </c>
    </row>
    <row r="64" spans="1:20" s="18" customFormat="1" ht="12" customHeight="1" x14ac:dyDescent="0.2">
      <c r="A64" s="17"/>
      <c r="B64" s="16" t="s">
        <v>373</v>
      </c>
      <c r="C64" s="13">
        <v>2011</v>
      </c>
      <c r="D64" s="13">
        <v>2017</v>
      </c>
      <c r="E64" s="13">
        <v>3436</v>
      </c>
      <c r="F64" s="13">
        <v>350</v>
      </c>
      <c r="G64" s="21">
        <v>97800</v>
      </c>
      <c r="H64" s="20"/>
      <c r="I64" s="19">
        <f>IF(2026-I$3&gt;IF($D64="",2026,$D64),IF(I$3=12,0.1*$G64,""),IF(2026-I$4&lt;$C64,"",I$4*$G64))</f>
        <v>9780</v>
      </c>
      <c r="J64" s="19">
        <f>IF(2026-J$3&gt;IF($D64="",2026,$D64),IF(J$3=12,0.1*$G64,""),IF(2026-J$4&lt;$C64,"",J$4*$G64))</f>
        <v>12714</v>
      </c>
      <c r="K64" s="19">
        <f>IF(2026-K$3&gt;IF($D64="",2026,$D64),IF(K$3=12,0.1*$G64,""),IF(2026-K$4&lt;$C64,"",K$4*$G64))</f>
        <v>16626</v>
      </c>
      <c r="L64" s="19">
        <f>IF(2026-L$3&gt;IF($D64="",2026,$D64),IF(L$3=12,0.1*$G64,""),IF(2026-L$4&lt;$C64,"",L$4*$G64))</f>
        <v>18582</v>
      </c>
      <c r="M64" s="19" t="str">
        <f>IF(2026-M$3&gt;IF($D64="",2026,$D64),IF(M$3=12,0.1*$G64,""),IF(2026-M$4&lt;$C64,"",M$4*$G64))</f>
        <v/>
      </c>
      <c r="N64" s="19" t="str">
        <f>IF(2026-N$3&gt;IF($D64="",2026,$D64),IF(N$3=12,0.1*$G64,""),IF(2026-N$4&lt;$C64,"",N$4*$G64))</f>
        <v/>
      </c>
      <c r="O64" s="19" t="str">
        <f>IF(2026-O$3&gt;IF($D64="",2026,$D64),IF(O$3=12,0.1*$G64,""),IF(2026-O$4&lt;$C64,"",O$4*$G64))</f>
        <v/>
      </c>
      <c r="P64" s="19" t="str">
        <f>IF(2026-P$3&gt;IF($D64="",2026,$D64),IF(P$3=12,0.1*$G64,""),IF(2026-P$4&lt;$C64,"",P$4*$G64))</f>
        <v/>
      </c>
      <c r="Q64" s="19" t="str">
        <f>IF(2026-Q$3&gt;IF($D64="",2026,$D64),IF(Q$3=12,0.1*$G64,""),IF(2026-Q$4&lt;$C64,"",Q$4*$G64))</f>
        <v/>
      </c>
      <c r="R64" s="19" t="str">
        <f>IF(2026-R$3&gt;IF($D64="",2026,$D64),IF(R$3=12,0.1*$G64,""),IF(2026-R$4&lt;$C64,"",R$4*$G64))</f>
        <v/>
      </c>
      <c r="S64" s="19" t="str">
        <f>IF(2026-S$3&gt;IF($D64="",2026,$D64),IF(S$3=12,0.1*$G64,""),IF(2026-S$4&lt;$C64,"",S$4*$G64))</f>
        <v/>
      </c>
      <c r="T64" s="19" t="str">
        <f>IF(2026-T$3&gt;IF($D64="",2026,$D64),IF(T$3=12,0.1*$G64,""),IF(2026-T$4&lt;$C64,"",T$4*$G64))</f>
        <v/>
      </c>
    </row>
    <row r="65" spans="1:20" s="18" customFormat="1" ht="12" customHeight="1" x14ac:dyDescent="0.2">
      <c r="A65" s="17"/>
      <c r="B65" s="16" t="s">
        <v>372</v>
      </c>
      <c r="C65" s="13">
        <v>2011</v>
      </c>
      <c r="D65" s="13">
        <v>2017</v>
      </c>
      <c r="E65" s="13">
        <v>3436</v>
      </c>
      <c r="F65" s="13">
        <v>350</v>
      </c>
      <c r="G65" s="21">
        <v>81700</v>
      </c>
      <c r="H65" s="20"/>
      <c r="I65" s="19">
        <f>IF(2026-I$3&gt;IF($D65="",2026,$D65),IF(I$3=12,0.1*$G65,""),IF(2026-I$4&lt;$C65,"",I$4*$G65))</f>
        <v>8170</v>
      </c>
      <c r="J65" s="19">
        <f>IF(2026-J$3&gt;IF($D65="",2026,$D65),IF(J$3=12,0.1*$G65,""),IF(2026-J$4&lt;$C65,"",J$4*$G65))</f>
        <v>10621</v>
      </c>
      <c r="K65" s="19">
        <f>IF(2026-K$3&gt;IF($D65="",2026,$D65),IF(K$3=12,0.1*$G65,""),IF(2026-K$4&lt;$C65,"",K$4*$G65))</f>
        <v>13889.000000000002</v>
      </c>
      <c r="L65" s="19">
        <f>IF(2026-L$3&gt;IF($D65="",2026,$D65),IF(L$3=12,0.1*$G65,""),IF(2026-L$4&lt;$C65,"",L$4*$G65))</f>
        <v>15523</v>
      </c>
      <c r="M65" s="19" t="str">
        <f>IF(2026-M$3&gt;IF($D65="",2026,$D65),IF(M$3=12,0.1*$G65,""),IF(2026-M$4&lt;$C65,"",M$4*$G65))</f>
        <v/>
      </c>
      <c r="N65" s="19" t="str">
        <f>IF(2026-N$3&gt;IF($D65="",2026,$D65),IF(N$3=12,0.1*$G65,""),IF(2026-N$4&lt;$C65,"",N$4*$G65))</f>
        <v/>
      </c>
      <c r="O65" s="19" t="str">
        <f>IF(2026-O$3&gt;IF($D65="",2026,$D65),IF(O$3=12,0.1*$G65,""),IF(2026-O$4&lt;$C65,"",O$4*$G65))</f>
        <v/>
      </c>
      <c r="P65" s="19" t="str">
        <f>IF(2026-P$3&gt;IF($D65="",2026,$D65),IF(P$3=12,0.1*$G65,""),IF(2026-P$4&lt;$C65,"",P$4*$G65))</f>
        <v/>
      </c>
      <c r="Q65" s="19" t="str">
        <f>IF(2026-Q$3&gt;IF($D65="",2026,$D65),IF(Q$3=12,0.1*$G65,""),IF(2026-Q$4&lt;$C65,"",Q$4*$G65))</f>
        <v/>
      </c>
      <c r="R65" s="19" t="str">
        <f>IF(2026-R$3&gt;IF($D65="",2026,$D65),IF(R$3=12,0.1*$G65,""),IF(2026-R$4&lt;$C65,"",R$4*$G65))</f>
        <v/>
      </c>
      <c r="S65" s="19" t="str">
        <f>IF(2026-S$3&gt;IF($D65="",2026,$D65),IF(S$3=12,0.1*$G65,""),IF(2026-S$4&lt;$C65,"",S$4*$G65))</f>
        <v/>
      </c>
      <c r="T65" s="19" t="str">
        <f>IF(2026-T$3&gt;IF($D65="",2026,$D65),IF(T$3=12,0.1*$G65,""),IF(2026-T$4&lt;$C65,"",T$4*$G65))</f>
        <v/>
      </c>
    </row>
    <row r="66" spans="1:20" s="18" customFormat="1" ht="12" customHeight="1" x14ac:dyDescent="0.2">
      <c r="A66" s="17"/>
      <c r="B66" s="16" t="s">
        <v>371</v>
      </c>
      <c r="C66" s="13">
        <v>2011</v>
      </c>
      <c r="D66" s="13">
        <v>2017</v>
      </c>
      <c r="E66" s="13">
        <v>3436</v>
      </c>
      <c r="F66" s="13">
        <v>350</v>
      </c>
      <c r="G66" s="21">
        <v>104400</v>
      </c>
      <c r="H66" s="20"/>
      <c r="I66" s="19">
        <f>IF(2026-I$3&gt;IF($D66="",2026,$D66),IF(I$3=12,0.1*$G66,""),IF(2026-I$4&lt;$C66,"",I$4*$G66))</f>
        <v>10440</v>
      </c>
      <c r="J66" s="19">
        <f>IF(2026-J$3&gt;IF($D66="",2026,$D66),IF(J$3=12,0.1*$G66,""),IF(2026-J$4&lt;$C66,"",J$4*$G66))</f>
        <v>13572</v>
      </c>
      <c r="K66" s="19">
        <f>IF(2026-K$3&gt;IF($D66="",2026,$D66),IF(K$3=12,0.1*$G66,""),IF(2026-K$4&lt;$C66,"",K$4*$G66))</f>
        <v>17748</v>
      </c>
      <c r="L66" s="19">
        <f>IF(2026-L$3&gt;IF($D66="",2026,$D66),IF(L$3=12,0.1*$G66,""),IF(2026-L$4&lt;$C66,"",L$4*$G66))</f>
        <v>19836</v>
      </c>
      <c r="M66" s="19" t="str">
        <f>IF(2026-M$3&gt;IF($D66="",2026,$D66),IF(M$3=12,0.1*$G66,""),IF(2026-M$4&lt;$C66,"",M$4*$G66))</f>
        <v/>
      </c>
      <c r="N66" s="19" t="str">
        <f>IF(2026-N$3&gt;IF($D66="",2026,$D66),IF(N$3=12,0.1*$G66,""),IF(2026-N$4&lt;$C66,"",N$4*$G66))</f>
        <v/>
      </c>
      <c r="O66" s="19" t="str">
        <f>IF(2026-O$3&gt;IF($D66="",2026,$D66),IF(O$3=12,0.1*$G66,""),IF(2026-O$4&lt;$C66,"",O$4*$G66))</f>
        <v/>
      </c>
      <c r="P66" s="19" t="str">
        <f>IF(2026-P$3&gt;IF($D66="",2026,$D66),IF(P$3=12,0.1*$G66,""),IF(2026-P$4&lt;$C66,"",P$4*$G66))</f>
        <v/>
      </c>
      <c r="Q66" s="19" t="str">
        <f>IF(2026-Q$3&gt;IF($D66="",2026,$D66),IF(Q$3=12,0.1*$G66,""),IF(2026-Q$4&lt;$C66,"",Q$4*$G66))</f>
        <v/>
      </c>
      <c r="R66" s="19" t="str">
        <f>IF(2026-R$3&gt;IF($D66="",2026,$D66),IF(R$3=12,0.1*$G66,""),IF(2026-R$4&lt;$C66,"",R$4*$G66))</f>
        <v/>
      </c>
      <c r="S66" s="19" t="str">
        <f>IF(2026-S$3&gt;IF($D66="",2026,$D66),IF(S$3=12,0.1*$G66,""),IF(2026-S$4&lt;$C66,"",S$4*$G66))</f>
        <v/>
      </c>
      <c r="T66" s="19" t="str">
        <f>IF(2026-T$3&gt;IF($D66="",2026,$D66),IF(T$3=12,0.1*$G66,""),IF(2026-T$4&lt;$C66,"",T$4*$G66))</f>
        <v/>
      </c>
    </row>
    <row r="67" spans="1:20" s="18" customFormat="1" ht="12" customHeight="1" x14ac:dyDescent="0.2">
      <c r="A67" s="17"/>
      <c r="B67" s="16" t="s">
        <v>370</v>
      </c>
      <c r="C67" s="13">
        <v>2011</v>
      </c>
      <c r="D67" s="13">
        <v>2017</v>
      </c>
      <c r="E67" s="13">
        <v>3436</v>
      </c>
      <c r="F67" s="13">
        <v>350</v>
      </c>
      <c r="G67" s="21">
        <v>106100</v>
      </c>
      <c r="H67" s="20"/>
      <c r="I67" s="19">
        <f>IF(2026-I$3&gt;IF($D67="",2026,$D67),IF(I$3=12,0.1*$G67,""),IF(2026-I$4&lt;$C67,"",I$4*$G67))</f>
        <v>10610</v>
      </c>
      <c r="J67" s="19">
        <f>IF(2026-J$3&gt;IF($D67="",2026,$D67),IF(J$3=12,0.1*$G67,""),IF(2026-J$4&lt;$C67,"",J$4*$G67))</f>
        <v>13793</v>
      </c>
      <c r="K67" s="19">
        <f>IF(2026-K$3&gt;IF($D67="",2026,$D67),IF(K$3=12,0.1*$G67,""),IF(2026-K$4&lt;$C67,"",K$4*$G67))</f>
        <v>18037</v>
      </c>
      <c r="L67" s="19">
        <f>IF(2026-L$3&gt;IF($D67="",2026,$D67),IF(L$3=12,0.1*$G67,""),IF(2026-L$4&lt;$C67,"",L$4*$G67))</f>
        <v>20159</v>
      </c>
      <c r="M67" s="19" t="str">
        <f>IF(2026-M$3&gt;IF($D67="",2026,$D67),IF(M$3=12,0.1*$G67,""),IF(2026-M$4&lt;$C67,"",M$4*$G67))</f>
        <v/>
      </c>
      <c r="N67" s="19" t="str">
        <f>IF(2026-N$3&gt;IF($D67="",2026,$D67),IF(N$3=12,0.1*$G67,""),IF(2026-N$4&lt;$C67,"",N$4*$G67))</f>
        <v/>
      </c>
      <c r="O67" s="19" t="str">
        <f>IF(2026-O$3&gt;IF($D67="",2026,$D67),IF(O$3=12,0.1*$G67,""),IF(2026-O$4&lt;$C67,"",O$4*$G67))</f>
        <v/>
      </c>
      <c r="P67" s="19" t="str">
        <f>IF(2026-P$3&gt;IF($D67="",2026,$D67),IF(P$3=12,0.1*$G67,""),IF(2026-P$4&lt;$C67,"",P$4*$G67))</f>
        <v/>
      </c>
      <c r="Q67" s="19" t="str">
        <f>IF(2026-Q$3&gt;IF($D67="",2026,$D67),IF(Q$3=12,0.1*$G67,""),IF(2026-Q$4&lt;$C67,"",Q$4*$G67))</f>
        <v/>
      </c>
      <c r="R67" s="19" t="str">
        <f>IF(2026-R$3&gt;IF($D67="",2026,$D67),IF(R$3=12,0.1*$G67,""),IF(2026-R$4&lt;$C67,"",R$4*$G67))</f>
        <v/>
      </c>
      <c r="S67" s="19" t="str">
        <f>IF(2026-S$3&gt;IF($D67="",2026,$D67),IF(S$3=12,0.1*$G67,""),IF(2026-S$4&lt;$C67,"",S$4*$G67))</f>
        <v/>
      </c>
      <c r="T67" s="19" t="str">
        <f>IF(2026-T$3&gt;IF($D67="",2026,$D67),IF(T$3=12,0.1*$G67,""),IF(2026-T$4&lt;$C67,"",T$4*$G67))</f>
        <v/>
      </c>
    </row>
    <row r="68" spans="1:20" s="18" customFormat="1" ht="12" customHeight="1" x14ac:dyDescent="0.2">
      <c r="A68" s="17"/>
      <c r="B68" s="16" t="s">
        <v>369</v>
      </c>
      <c r="C68" s="13">
        <v>2011</v>
      </c>
      <c r="D68" s="13">
        <v>2017</v>
      </c>
      <c r="E68" s="13">
        <v>3436</v>
      </c>
      <c r="F68" s="13">
        <v>350</v>
      </c>
      <c r="G68" s="21">
        <v>109500</v>
      </c>
      <c r="H68" s="20"/>
      <c r="I68" s="19">
        <f>IF(2026-I$3&gt;IF($D68="",2026,$D68),IF(I$3=12,0.1*$G68,""),IF(2026-I$4&lt;$C68,"",I$4*$G68))</f>
        <v>10950</v>
      </c>
      <c r="J68" s="19">
        <f>IF(2026-J$3&gt;IF($D68="",2026,$D68),IF(J$3=12,0.1*$G68,""),IF(2026-J$4&lt;$C68,"",J$4*$G68))</f>
        <v>14235</v>
      </c>
      <c r="K68" s="19">
        <f>IF(2026-K$3&gt;IF($D68="",2026,$D68),IF(K$3=12,0.1*$G68,""),IF(2026-K$4&lt;$C68,"",K$4*$G68))</f>
        <v>18615</v>
      </c>
      <c r="L68" s="19">
        <f>IF(2026-L$3&gt;IF($D68="",2026,$D68),IF(L$3=12,0.1*$G68,""),IF(2026-L$4&lt;$C68,"",L$4*$G68))</f>
        <v>20805</v>
      </c>
      <c r="M68" s="19" t="str">
        <f>IF(2026-M$3&gt;IF($D68="",2026,$D68),IF(M$3=12,0.1*$G68,""),IF(2026-M$4&lt;$C68,"",M$4*$G68))</f>
        <v/>
      </c>
      <c r="N68" s="19" t="str">
        <f>IF(2026-N$3&gt;IF($D68="",2026,$D68),IF(N$3=12,0.1*$G68,""),IF(2026-N$4&lt;$C68,"",N$4*$G68))</f>
        <v/>
      </c>
      <c r="O68" s="19" t="str">
        <f>IF(2026-O$3&gt;IF($D68="",2026,$D68),IF(O$3=12,0.1*$G68,""),IF(2026-O$4&lt;$C68,"",O$4*$G68))</f>
        <v/>
      </c>
      <c r="P68" s="19" t="str">
        <f>IF(2026-P$3&gt;IF($D68="",2026,$D68),IF(P$3=12,0.1*$G68,""),IF(2026-P$4&lt;$C68,"",P$4*$G68))</f>
        <v/>
      </c>
      <c r="Q68" s="19" t="str">
        <f>IF(2026-Q$3&gt;IF($D68="",2026,$D68),IF(Q$3=12,0.1*$G68,""),IF(2026-Q$4&lt;$C68,"",Q$4*$G68))</f>
        <v/>
      </c>
      <c r="R68" s="19" t="str">
        <f>IF(2026-R$3&gt;IF($D68="",2026,$D68),IF(R$3=12,0.1*$G68,""),IF(2026-R$4&lt;$C68,"",R$4*$G68))</f>
        <v/>
      </c>
      <c r="S68" s="19" t="str">
        <f>IF(2026-S$3&gt;IF($D68="",2026,$D68),IF(S$3=12,0.1*$G68,""),IF(2026-S$4&lt;$C68,"",S$4*$G68))</f>
        <v/>
      </c>
      <c r="T68" s="19" t="str">
        <f>IF(2026-T$3&gt;IF($D68="",2026,$D68),IF(T$3=12,0.1*$G68,""),IF(2026-T$4&lt;$C68,"",T$4*$G68))</f>
        <v/>
      </c>
    </row>
    <row r="69" spans="1:20" s="18" customFormat="1" ht="12" customHeight="1" x14ac:dyDescent="0.2">
      <c r="A69" s="17"/>
      <c r="B69" s="16" t="s">
        <v>368</v>
      </c>
      <c r="C69" s="13">
        <v>2011</v>
      </c>
      <c r="D69" s="13">
        <v>2017</v>
      </c>
      <c r="E69" s="13">
        <v>3436</v>
      </c>
      <c r="F69" s="13">
        <v>350</v>
      </c>
      <c r="G69" s="21">
        <v>107700</v>
      </c>
      <c r="H69" s="20"/>
      <c r="I69" s="19">
        <f>IF(2026-I$3&gt;IF($D69="",2026,$D69),IF(I$3=12,0.1*$G69,""),IF(2026-I$4&lt;$C69,"",I$4*$G69))</f>
        <v>10770</v>
      </c>
      <c r="J69" s="19">
        <f>IF(2026-J$3&gt;IF($D69="",2026,$D69),IF(J$3=12,0.1*$G69,""),IF(2026-J$4&lt;$C69,"",J$4*$G69))</f>
        <v>14001</v>
      </c>
      <c r="K69" s="19">
        <f>IF(2026-K$3&gt;IF($D69="",2026,$D69),IF(K$3=12,0.1*$G69,""),IF(2026-K$4&lt;$C69,"",K$4*$G69))</f>
        <v>18309</v>
      </c>
      <c r="L69" s="19">
        <f>IF(2026-L$3&gt;IF($D69="",2026,$D69),IF(L$3=12,0.1*$G69,""),IF(2026-L$4&lt;$C69,"",L$4*$G69))</f>
        <v>20463</v>
      </c>
      <c r="M69" s="19" t="str">
        <f>IF(2026-M$3&gt;IF($D69="",2026,$D69),IF(M$3=12,0.1*$G69,""),IF(2026-M$4&lt;$C69,"",M$4*$G69))</f>
        <v/>
      </c>
      <c r="N69" s="19" t="str">
        <f>IF(2026-N$3&gt;IF($D69="",2026,$D69),IF(N$3=12,0.1*$G69,""),IF(2026-N$4&lt;$C69,"",N$4*$G69))</f>
        <v/>
      </c>
      <c r="O69" s="19" t="str">
        <f>IF(2026-O$3&gt;IF($D69="",2026,$D69),IF(O$3=12,0.1*$G69,""),IF(2026-O$4&lt;$C69,"",O$4*$G69))</f>
        <v/>
      </c>
      <c r="P69" s="19" t="str">
        <f>IF(2026-P$3&gt;IF($D69="",2026,$D69),IF(P$3=12,0.1*$G69,""),IF(2026-P$4&lt;$C69,"",P$4*$G69))</f>
        <v/>
      </c>
      <c r="Q69" s="19" t="str">
        <f>IF(2026-Q$3&gt;IF($D69="",2026,$D69),IF(Q$3=12,0.1*$G69,""),IF(2026-Q$4&lt;$C69,"",Q$4*$G69))</f>
        <v/>
      </c>
      <c r="R69" s="19" t="str">
        <f>IF(2026-R$3&gt;IF($D69="",2026,$D69),IF(R$3=12,0.1*$G69,""),IF(2026-R$4&lt;$C69,"",R$4*$G69))</f>
        <v/>
      </c>
      <c r="S69" s="19" t="str">
        <f>IF(2026-S$3&gt;IF($D69="",2026,$D69),IF(S$3=12,0.1*$G69,""),IF(2026-S$4&lt;$C69,"",S$4*$G69))</f>
        <v/>
      </c>
      <c r="T69" s="19" t="str">
        <f>IF(2026-T$3&gt;IF($D69="",2026,$D69),IF(T$3=12,0.1*$G69,""),IF(2026-T$4&lt;$C69,"",T$4*$G69))</f>
        <v/>
      </c>
    </row>
    <row r="70" spans="1:20" s="18" customFormat="1" ht="12" customHeight="1" x14ac:dyDescent="0.2">
      <c r="A70" s="17"/>
      <c r="B70" s="16" t="s">
        <v>367</v>
      </c>
      <c r="C70" s="13">
        <v>2011</v>
      </c>
      <c r="D70" s="13">
        <v>2017</v>
      </c>
      <c r="E70" s="13">
        <v>3436</v>
      </c>
      <c r="F70" s="13">
        <v>350</v>
      </c>
      <c r="G70" s="21">
        <v>92400</v>
      </c>
      <c r="H70" s="20"/>
      <c r="I70" s="19">
        <f>IF(2026-I$3&gt;IF($D70="",2026,$D70),IF(I$3=12,0.1*$G70,""),IF(2026-I$4&lt;$C70,"",I$4*$G70))</f>
        <v>9240</v>
      </c>
      <c r="J70" s="19">
        <f>IF(2026-J$3&gt;IF($D70="",2026,$D70),IF(J$3=12,0.1*$G70,""),IF(2026-J$4&lt;$C70,"",J$4*$G70))</f>
        <v>12012</v>
      </c>
      <c r="K70" s="19">
        <f>IF(2026-K$3&gt;IF($D70="",2026,$D70),IF(K$3=12,0.1*$G70,""),IF(2026-K$4&lt;$C70,"",K$4*$G70))</f>
        <v>15708.000000000002</v>
      </c>
      <c r="L70" s="19">
        <f>IF(2026-L$3&gt;IF($D70="",2026,$D70),IF(L$3=12,0.1*$G70,""),IF(2026-L$4&lt;$C70,"",L$4*$G70))</f>
        <v>17556</v>
      </c>
      <c r="M70" s="19" t="str">
        <f>IF(2026-M$3&gt;IF($D70="",2026,$D70),IF(M$3=12,0.1*$G70,""),IF(2026-M$4&lt;$C70,"",M$4*$G70))</f>
        <v/>
      </c>
      <c r="N70" s="19" t="str">
        <f>IF(2026-N$3&gt;IF($D70="",2026,$D70),IF(N$3=12,0.1*$G70,""),IF(2026-N$4&lt;$C70,"",N$4*$G70))</f>
        <v/>
      </c>
      <c r="O70" s="19" t="str">
        <f>IF(2026-O$3&gt;IF($D70="",2026,$D70),IF(O$3=12,0.1*$G70,""),IF(2026-O$4&lt;$C70,"",O$4*$G70))</f>
        <v/>
      </c>
      <c r="P70" s="19" t="str">
        <f>IF(2026-P$3&gt;IF($D70="",2026,$D70),IF(P$3=12,0.1*$G70,""),IF(2026-P$4&lt;$C70,"",P$4*$G70))</f>
        <v/>
      </c>
      <c r="Q70" s="19" t="str">
        <f>IF(2026-Q$3&gt;IF($D70="",2026,$D70),IF(Q$3=12,0.1*$G70,""),IF(2026-Q$4&lt;$C70,"",Q$4*$G70))</f>
        <v/>
      </c>
      <c r="R70" s="19" t="str">
        <f>IF(2026-R$3&gt;IF($D70="",2026,$D70),IF(R$3=12,0.1*$G70,""),IF(2026-R$4&lt;$C70,"",R$4*$G70))</f>
        <v/>
      </c>
      <c r="S70" s="19" t="str">
        <f>IF(2026-S$3&gt;IF($D70="",2026,$D70),IF(S$3=12,0.1*$G70,""),IF(2026-S$4&lt;$C70,"",S$4*$G70))</f>
        <v/>
      </c>
      <c r="T70" s="19" t="str">
        <f>IF(2026-T$3&gt;IF($D70="",2026,$D70),IF(T$3=12,0.1*$G70,""),IF(2026-T$4&lt;$C70,"",T$4*$G70))</f>
        <v/>
      </c>
    </row>
    <row r="71" spans="1:20" s="18" customFormat="1" ht="12" customHeight="1" x14ac:dyDescent="0.2">
      <c r="A71" s="17"/>
      <c r="B71" s="16" t="s">
        <v>366</v>
      </c>
      <c r="C71" s="13">
        <v>2011</v>
      </c>
      <c r="D71" s="13">
        <v>2017</v>
      </c>
      <c r="E71" s="13">
        <v>3436</v>
      </c>
      <c r="F71" s="13">
        <v>350</v>
      </c>
      <c r="G71" s="21">
        <v>96200</v>
      </c>
      <c r="H71" s="20"/>
      <c r="I71" s="19">
        <f>IF(2026-I$3&gt;IF($D71="",2026,$D71),IF(I$3=12,0.1*$G71,""),IF(2026-I$4&lt;$C71,"",I$4*$G71))</f>
        <v>9620</v>
      </c>
      <c r="J71" s="19">
        <f>IF(2026-J$3&gt;IF($D71="",2026,$D71),IF(J$3=12,0.1*$G71,""),IF(2026-J$4&lt;$C71,"",J$4*$G71))</f>
        <v>12506</v>
      </c>
      <c r="K71" s="19">
        <f>IF(2026-K$3&gt;IF($D71="",2026,$D71),IF(K$3=12,0.1*$G71,""),IF(2026-K$4&lt;$C71,"",K$4*$G71))</f>
        <v>16354.000000000002</v>
      </c>
      <c r="L71" s="19">
        <f>IF(2026-L$3&gt;IF($D71="",2026,$D71),IF(L$3=12,0.1*$G71,""),IF(2026-L$4&lt;$C71,"",L$4*$G71))</f>
        <v>18278</v>
      </c>
      <c r="M71" s="19" t="str">
        <f>IF(2026-M$3&gt;IF($D71="",2026,$D71),IF(M$3=12,0.1*$G71,""),IF(2026-M$4&lt;$C71,"",M$4*$G71))</f>
        <v/>
      </c>
      <c r="N71" s="19" t="str">
        <f>IF(2026-N$3&gt;IF($D71="",2026,$D71),IF(N$3=12,0.1*$G71,""),IF(2026-N$4&lt;$C71,"",N$4*$G71))</f>
        <v/>
      </c>
      <c r="O71" s="19" t="str">
        <f>IF(2026-O$3&gt;IF($D71="",2026,$D71),IF(O$3=12,0.1*$G71,""),IF(2026-O$4&lt;$C71,"",O$4*$G71))</f>
        <v/>
      </c>
      <c r="P71" s="19" t="str">
        <f>IF(2026-P$3&gt;IF($D71="",2026,$D71),IF(P$3=12,0.1*$G71,""),IF(2026-P$4&lt;$C71,"",P$4*$G71))</f>
        <v/>
      </c>
      <c r="Q71" s="19" t="str">
        <f>IF(2026-Q$3&gt;IF($D71="",2026,$D71),IF(Q$3=12,0.1*$G71,""),IF(2026-Q$4&lt;$C71,"",Q$4*$G71))</f>
        <v/>
      </c>
      <c r="R71" s="19" t="str">
        <f>IF(2026-R$3&gt;IF($D71="",2026,$D71),IF(R$3=12,0.1*$G71,""),IF(2026-R$4&lt;$C71,"",R$4*$G71))</f>
        <v/>
      </c>
      <c r="S71" s="19" t="str">
        <f>IF(2026-S$3&gt;IF($D71="",2026,$D71),IF(S$3=12,0.1*$G71,""),IF(2026-S$4&lt;$C71,"",S$4*$G71))</f>
        <v/>
      </c>
      <c r="T71" s="19" t="str">
        <f>IF(2026-T$3&gt;IF($D71="",2026,$D71),IF(T$3=12,0.1*$G71,""),IF(2026-T$4&lt;$C71,"",T$4*$G71))</f>
        <v/>
      </c>
    </row>
    <row r="72" spans="1:20" s="18" customFormat="1" ht="12" customHeight="1" x14ac:dyDescent="0.2">
      <c r="A72" s="17"/>
      <c r="B72" s="16" t="s">
        <v>365</v>
      </c>
      <c r="C72" s="13">
        <v>2011</v>
      </c>
      <c r="D72" s="13">
        <v>2017</v>
      </c>
      <c r="E72" s="13">
        <v>3436</v>
      </c>
      <c r="F72" s="13">
        <v>350</v>
      </c>
      <c r="G72" s="21">
        <v>99800</v>
      </c>
      <c r="H72" s="20"/>
      <c r="I72" s="19">
        <f>IF(2026-I$3&gt;IF($D72="",2026,$D72),IF(I$3=12,0.1*$G72,""),IF(2026-I$4&lt;$C72,"",I$4*$G72))</f>
        <v>9980</v>
      </c>
      <c r="J72" s="19">
        <f>IF(2026-J$3&gt;IF($D72="",2026,$D72),IF(J$3=12,0.1*$G72,""),IF(2026-J$4&lt;$C72,"",J$4*$G72))</f>
        <v>12974</v>
      </c>
      <c r="K72" s="19">
        <f>IF(2026-K$3&gt;IF($D72="",2026,$D72),IF(K$3=12,0.1*$G72,""),IF(2026-K$4&lt;$C72,"",K$4*$G72))</f>
        <v>16966</v>
      </c>
      <c r="L72" s="19">
        <f>IF(2026-L$3&gt;IF($D72="",2026,$D72),IF(L$3=12,0.1*$G72,""),IF(2026-L$4&lt;$C72,"",L$4*$G72))</f>
        <v>18962</v>
      </c>
      <c r="M72" s="19" t="str">
        <f>IF(2026-M$3&gt;IF($D72="",2026,$D72),IF(M$3=12,0.1*$G72,""),IF(2026-M$4&lt;$C72,"",M$4*$G72))</f>
        <v/>
      </c>
      <c r="N72" s="19" t="str">
        <f>IF(2026-N$3&gt;IF($D72="",2026,$D72),IF(N$3=12,0.1*$G72,""),IF(2026-N$4&lt;$C72,"",N$4*$G72))</f>
        <v/>
      </c>
      <c r="O72" s="19" t="str">
        <f>IF(2026-O$3&gt;IF($D72="",2026,$D72),IF(O$3=12,0.1*$G72,""),IF(2026-O$4&lt;$C72,"",O$4*$G72))</f>
        <v/>
      </c>
      <c r="P72" s="19" t="str">
        <f>IF(2026-P$3&gt;IF($D72="",2026,$D72),IF(P$3=12,0.1*$G72,""),IF(2026-P$4&lt;$C72,"",P$4*$G72))</f>
        <v/>
      </c>
      <c r="Q72" s="19" t="str">
        <f>IF(2026-Q$3&gt;IF($D72="",2026,$D72),IF(Q$3=12,0.1*$G72,""),IF(2026-Q$4&lt;$C72,"",Q$4*$G72))</f>
        <v/>
      </c>
      <c r="R72" s="19" t="str">
        <f>IF(2026-R$3&gt;IF($D72="",2026,$D72),IF(R$3=12,0.1*$G72,""),IF(2026-R$4&lt;$C72,"",R$4*$G72))</f>
        <v/>
      </c>
      <c r="S72" s="19" t="str">
        <f>IF(2026-S$3&gt;IF($D72="",2026,$D72),IF(S$3=12,0.1*$G72,""),IF(2026-S$4&lt;$C72,"",S$4*$G72))</f>
        <v/>
      </c>
      <c r="T72" s="19" t="str">
        <f>IF(2026-T$3&gt;IF($D72="",2026,$D72),IF(T$3=12,0.1*$G72,""),IF(2026-T$4&lt;$C72,"",T$4*$G72))</f>
        <v/>
      </c>
    </row>
    <row r="73" spans="1:20" s="18" customFormat="1" ht="12" customHeight="1" x14ac:dyDescent="0.2">
      <c r="A73" s="17"/>
      <c r="B73" s="16" t="s">
        <v>364</v>
      </c>
      <c r="C73" s="13">
        <v>2011</v>
      </c>
      <c r="D73" s="13">
        <v>2017</v>
      </c>
      <c r="E73" s="13">
        <v>3436</v>
      </c>
      <c r="F73" s="13">
        <v>350</v>
      </c>
      <c r="G73" s="21">
        <v>95800</v>
      </c>
      <c r="H73" s="20"/>
      <c r="I73" s="19">
        <f>IF(2026-I$3&gt;IF($D73="",2026,$D73),IF(I$3=12,0.1*$G73,""),IF(2026-I$4&lt;$C73,"",I$4*$G73))</f>
        <v>9580</v>
      </c>
      <c r="J73" s="19">
        <f>IF(2026-J$3&gt;IF($D73="",2026,$D73),IF(J$3=12,0.1*$G73,""),IF(2026-J$4&lt;$C73,"",J$4*$G73))</f>
        <v>12454</v>
      </c>
      <c r="K73" s="19">
        <f>IF(2026-K$3&gt;IF($D73="",2026,$D73),IF(K$3=12,0.1*$G73,""),IF(2026-K$4&lt;$C73,"",K$4*$G73))</f>
        <v>16286.000000000002</v>
      </c>
      <c r="L73" s="19">
        <f>IF(2026-L$3&gt;IF($D73="",2026,$D73),IF(L$3=12,0.1*$G73,""),IF(2026-L$4&lt;$C73,"",L$4*$G73))</f>
        <v>18202</v>
      </c>
      <c r="M73" s="19" t="str">
        <f>IF(2026-M$3&gt;IF($D73="",2026,$D73),IF(M$3=12,0.1*$G73,""),IF(2026-M$4&lt;$C73,"",M$4*$G73))</f>
        <v/>
      </c>
      <c r="N73" s="19" t="str">
        <f>IF(2026-N$3&gt;IF($D73="",2026,$D73),IF(N$3=12,0.1*$G73,""),IF(2026-N$4&lt;$C73,"",N$4*$G73))</f>
        <v/>
      </c>
      <c r="O73" s="19" t="str">
        <f>IF(2026-O$3&gt;IF($D73="",2026,$D73),IF(O$3=12,0.1*$G73,""),IF(2026-O$4&lt;$C73,"",O$4*$G73))</f>
        <v/>
      </c>
      <c r="P73" s="19" t="str">
        <f>IF(2026-P$3&gt;IF($D73="",2026,$D73),IF(P$3=12,0.1*$G73,""),IF(2026-P$4&lt;$C73,"",P$4*$G73))</f>
        <v/>
      </c>
      <c r="Q73" s="19" t="str">
        <f>IF(2026-Q$3&gt;IF($D73="",2026,$D73),IF(Q$3=12,0.1*$G73,""),IF(2026-Q$4&lt;$C73,"",Q$4*$G73))</f>
        <v/>
      </c>
      <c r="R73" s="19" t="str">
        <f>IF(2026-R$3&gt;IF($D73="",2026,$D73),IF(R$3=12,0.1*$G73,""),IF(2026-R$4&lt;$C73,"",R$4*$G73))</f>
        <v/>
      </c>
      <c r="S73" s="19" t="str">
        <f>IF(2026-S$3&gt;IF($D73="",2026,$D73),IF(S$3=12,0.1*$G73,""),IF(2026-S$4&lt;$C73,"",S$4*$G73))</f>
        <v/>
      </c>
      <c r="T73" s="19" t="str">
        <f>IF(2026-T$3&gt;IF($D73="",2026,$D73),IF(T$3=12,0.1*$G73,""),IF(2026-T$4&lt;$C73,"",T$4*$G73))</f>
        <v/>
      </c>
    </row>
    <row r="74" spans="1:20" s="18" customFormat="1" ht="12" customHeight="1" x14ac:dyDescent="0.2">
      <c r="A74" s="17"/>
      <c r="B74" s="16" t="s">
        <v>363</v>
      </c>
      <c r="C74" s="13">
        <v>2011</v>
      </c>
      <c r="D74" s="13">
        <v>2017</v>
      </c>
      <c r="E74" s="13">
        <v>3436</v>
      </c>
      <c r="F74" s="13">
        <v>350</v>
      </c>
      <c r="G74" s="21">
        <v>100100</v>
      </c>
      <c r="H74" s="20"/>
      <c r="I74" s="19">
        <f>IF(2026-I$3&gt;IF($D74="",2026,$D74),IF(I$3=12,0.1*$G74,""),IF(2026-I$4&lt;$C74,"",I$4*$G74))</f>
        <v>10010</v>
      </c>
      <c r="J74" s="19">
        <f>IF(2026-J$3&gt;IF($D74="",2026,$D74),IF(J$3=12,0.1*$G74,""),IF(2026-J$4&lt;$C74,"",J$4*$G74))</f>
        <v>13013</v>
      </c>
      <c r="K74" s="19">
        <f>IF(2026-K$3&gt;IF($D74="",2026,$D74),IF(K$3=12,0.1*$G74,""),IF(2026-K$4&lt;$C74,"",K$4*$G74))</f>
        <v>17017</v>
      </c>
      <c r="L74" s="19">
        <f>IF(2026-L$3&gt;IF($D74="",2026,$D74),IF(L$3=12,0.1*$G74,""),IF(2026-L$4&lt;$C74,"",L$4*$G74))</f>
        <v>19019</v>
      </c>
      <c r="M74" s="19" t="str">
        <f>IF(2026-M$3&gt;IF($D74="",2026,$D74),IF(M$3=12,0.1*$G74,""),IF(2026-M$4&lt;$C74,"",M$4*$G74))</f>
        <v/>
      </c>
      <c r="N74" s="19" t="str">
        <f>IF(2026-N$3&gt;IF($D74="",2026,$D74),IF(N$3=12,0.1*$G74,""),IF(2026-N$4&lt;$C74,"",N$4*$G74))</f>
        <v/>
      </c>
      <c r="O74" s="19" t="str">
        <f>IF(2026-O$3&gt;IF($D74="",2026,$D74),IF(O$3=12,0.1*$G74,""),IF(2026-O$4&lt;$C74,"",O$4*$G74))</f>
        <v/>
      </c>
      <c r="P74" s="19" t="str">
        <f>IF(2026-P$3&gt;IF($D74="",2026,$D74),IF(P$3=12,0.1*$G74,""),IF(2026-P$4&lt;$C74,"",P$4*$G74))</f>
        <v/>
      </c>
      <c r="Q74" s="19" t="str">
        <f>IF(2026-Q$3&gt;IF($D74="",2026,$D74),IF(Q$3=12,0.1*$G74,""),IF(2026-Q$4&lt;$C74,"",Q$4*$G74))</f>
        <v/>
      </c>
      <c r="R74" s="19" t="str">
        <f>IF(2026-R$3&gt;IF($D74="",2026,$D74),IF(R$3=12,0.1*$G74,""),IF(2026-R$4&lt;$C74,"",R$4*$G74))</f>
        <v/>
      </c>
      <c r="S74" s="19" t="str">
        <f>IF(2026-S$3&gt;IF($D74="",2026,$D74),IF(S$3=12,0.1*$G74,""),IF(2026-S$4&lt;$C74,"",S$4*$G74))</f>
        <v/>
      </c>
      <c r="T74" s="19" t="str">
        <f>IF(2026-T$3&gt;IF($D74="",2026,$D74),IF(T$3=12,0.1*$G74,""),IF(2026-T$4&lt;$C74,"",T$4*$G74))</f>
        <v/>
      </c>
    </row>
    <row r="75" spans="1:20" s="18" customFormat="1" ht="12" customHeight="1" x14ac:dyDescent="0.2">
      <c r="A75" s="17"/>
      <c r="B75" s="16" t="s">
        <v>362</v>
      </c>
      <c r="C75" s="13">
        <v>2011</v>
      </c>
      <c r="D75" s="13">
        <v>2017</v>
      </c>
      <c r="E75" s="13">
        <v>3436</v>
      </c>
      <c r="F75" s="13">
        <v>350</v>
      </c>
      <c r="G75" s="21">
        <v>99800</v>
      </c>
      <c r="H75" s="20"/>
      <c r="I75" s="19">
        <f>IF(2026-I$3&gt;IF($D75="",2026,$D75),IF(I$3=12,0.1*$G75,""),IF(2026-I$4&lt;$C75,"",I$4*$G75))</f>
        <v>9980</v>
      </c>
      <c r="J75" s="19">
        <f>IF(2026-J$3&gt;IF($D75="",2026,$D75),IF(J$3=12,0.1*$G75,""),IF(2026-J$4&lt;$C75,"",J$4*$G75))</f>
        <v>12974</v>
      </c>
      <c r="K75" s="19">
        <f>IF(2026-K$3&gt;IF($D75="",2026,$D75),IF(K$3=12,0.1*$G75,""),IF(2026-K$4&lt;$C75,"",K$4*$G75))</f>
        <v>16966</v>
      </c>
      <c r="L75" s="19">
        <f>IF(2026-L$3&gt;IF($D75="",2026,$D75),IF(L$3=12,0.1*$G75,""),IF(2026-L$4&lt;$C75,"",L$4*$G75))</f>
        <v>18962</v>
      </c>
      <c r="M75" s="19" t="str">
        <f>IF(2026-M$3&gt;IF($D75="",2026,$D75),IF(M$3=12,0.1*$G75,""),IF(2026-M$4&lt;$C75,"",M$4*$G75))</f>
        <v/>
      </c>
      <c r="N75" s="19" t="str">
        <f>IF(2026-N$3&gt;IF($D75="",2026,$D75),IF(N$3=12,0.1*$G75,""),IF(2026-N$4&lt;$C75,"",N$4*$G75))</f>
        <v/>
      </c>
      <c r="O75" s="19" t="str">
        <f>IF(2026-O$3&gt;IF($D75="",2026,$D75),IF(O$3=12,0.1*$G75,""),IF(2026-O$4&lt;$C75,"",O$4*$G75))</f>
        <v/>
      </c>
      <c r="P75" s="19" t="str">
        <f>IF(2026-P$3&gt;IF($D75="",2026,$D75),IF(P$3=12,0.1*$G75,""),IF(2026-P$4&lt;$C75,"",P$4*$G75))</f>
        <v/>
      </c>
      <c r="Q75" s="19" t="str">
        <f>IF(2026-Q$3&gt;IF($D75="",2026,$D75),IF(Q$3=12,0.1*$G75,""),IF(2026-Q$4&lt;$C75,"",Q$4*$G75))</f>
        <v/>
      </c>
      <c r="R75" s="19" t="str">
        <f>IF(2026-R$3&gt;IF($D75="",2026,$D75),IF(R$3=12,0.1*$G75,""),IF(2026-R$4&lt;$C75,"",R$4*$G75))</f>
        <v/>
      </c>
      <c r="S75" s="19" t="str">
        <f>IF(2026-S$3&gt;IF($D75="",2026,$D75),IF(S$3=12,0.1*$G75,""),IF(2026-S$4&lt;$C75,"",S$4*$G75))</f>
        <v/>
      </c>
      <c r="T75" s="19" t="str">
        <f>IF(2026-T$3&gt;IF($D75="",2026,$D75),IF(T$3=12,0.1*$G75,""),IF(2026-T$4&lt;$C75,"",T$4*$G75))</f>
        <v/>
      </c>
    </row>
    <row r="76" spans="1:20" s="18" customFormat="1" ht="12" customHeight="1" x14ac:dyDescent="0.2">
      <c r="A76" s="17"/>
      <c r="B76" s="16" t="s">
        <v>361</v>
      </c>
      <c r="C76" s="13">
        <v>2011</v>
      </c>
      <c r="D76" s="13">
        <v>2017</v>
      </c>
      <c r="E76" s="13">
        <v>3436</v>
      </c>
      <c r="F76" s="13">
        <v>350</v>
      </c>
      <c r="G76" s="21">
        <v>97300</v>
      </c>
      <c r="H76" s="20"/>
      <c r="I76" s="19">
        <f>IF(2026-I$3&gt;IF($D76="",2026,$D76),IF(I$3=12,0.1*$G76,""),IF(2026-I$4&lt;$C76,"",I$4*$G76))</f>
        <v>9730</v>
      </c>
      <c r="J76" s="19">
        <f>IF(2026-J$3&gt;IF($D76="",2026,$D76),IF(J$3=12,0.1*$G76,""),IF(2026-J$4&lt;$C76,"",J$4*$G76))</f>
        <v>12649</v>
      </c>
      <c r="K76" s="19">
        <f>IF(2026-K$3&gt;IF($D76="",2026,$D76),IF(K$3=12,0.1*$G76,""),IF(2026-K$4&lt;$C76,"",K$4*$G76))</f>
        <v>16541</v>
      </c>
      <c r="L76" s="19">
        <f>IF(2026-L$3&gt;IF($D76="",2026,$D76),IF(L$3=12,0.1*$G76,""),IF(2026-L$4&lt;$C76,"",L$4*$G76))</f>
        <v>18487</v>
      </c>
      <c r="M76" s="19" t="str">
        <f>IF(2026-M$3&gt;IF($D76="",2026,$D76),IF(M$3=12,0.1*$G76,""),IF(2026-M$4&lt;$C76,"",M$4*$G76))</f>
        <v/>
      </c>
      <c r="N76" s="19" t="str">
        <f>IF(2026-N$3&gt;IF($D76="",2026,$D76),IF(N$3=12,0.1*$G76,""),IF(2026-N$4&lt;$C76,"",N$4*$G76))</f>
        <v/>
      </c>
      <c r="O76" s="19" t="str">
        <f>IF(2026-O$3&gt;IF($D76="",2026,$D76),IF(O$3=12,0.1*$G76,""),IF(2026-O$4&lt;$C76,"",O$4*$G76))</f>
        <v/>
      </c>
      <c r="P76" s="19" t="str">
        <f>IF(2026-P$3&gt;IF($D76="",2026,$D76),IF(P$3=12,0.1*$G76,""),IF(2026-P$4&lt;$C76,"",P$4*$G76))</f>
        <v/>
      </c>
      <c r="Q76" s="19" t="str">
        <f>IF(2026-Q$3&gt;IF($D76="",2026,$D76),IF(Q$3=12,0.1*$G76,""),IF(2026-Q$4&lt;$C76,"",Q$4*$G76))</f>
        <v/>
      </c>
      <c r="R76" s="19" t="str">
        <f>IF(2026-R$3&gt;IF($D76="",2026,$D76),IF(R$3=12,0.1*$G76,""),IF(2026-R$4&lt;$C76,"",R$4*$G76))</f>
        <v/>
      </c>
      <c r="S76" s="19" t="str">
        <f>IF(2026-S$3&gt;IF($D76="",2026,$D76),IF(S$3=12,0.1*$G76,""),IF(2026-S$4&lt;$C76,"",S$4*$G76))</f>
        <v/>
      </c>
      <c r="T76" s="19" t="str">
        <f>IF(2026-T$3&gt;IF($D76="",2026,$D76),IF(T$3=12,0.1*$G76,""),IF(2026-T$4&lt;$C76,"",T$4*$G76))</f>
        <v/>
      </c>
    </row>
    <row r="77" spans="1:20" s="18" customFormat="1" ht="12" customHeight="1" x14ac:dyDescent="0.2">
      <c r="A77" s="17"/>
      <c r="B77" s="16" t="s">
        <v>360</v>
      </c>
      <c r="C77" s="13">
        <v>2011</v>
      </c>
      <c r="D77" s="13">
        <v>2017</v>
      </c>
      <c r="E77" s="13">
        <v>3436</v>
      </c>
      <c r="F77" s="13">
        <v>350</v>
      </c>
      <c r="G77" s="21">
        <v>90200</v>
      </c>
      <c r="H77" s="20"/>
      <c r="I77" s="19">
        <f>IF(2026-I$3&gt;IF($D77="",2026,$D77),IF(I$3=12,0.1*$G77,""),IF(2026-I$4&lt;$C77,"",I$4*$G77))</f>
        <v>9020</v>
      </c>
      <c r="J77" s="19">
        <f>IF(2026-J$3&gt;IF($D77="",2026,$D77),IF(J$3=12,0.1*$G77,""),IF(2026-J$4&lt;$C77,"",J$4*$G77))</f>
        <v>11726</v>
      </c>
      <c r="K77" s="19">
        <f>IF(2026-K$3&gt;IF($D77="",2026,$D77),IF(K$3=12,0.1*$G77,""),IF(2026-K$4&lt;$C77,"",K$4*$G77))</f>
        <v>15334.000000000002</v>
      </c>
      <c r="L77" s="19">
        <f>IF(2026-L$3&gt;IF($D77="",2026,$D77),IF(L$3=12,0.1*$G77,""),IF(2026-L$4&lt;$C77,"",L$4*$G77))</f>
        <v>17138</v>
      </c>
      <c r="M77" s="19" t="str">
        <f>IF(2026-M$3&gt;IF($D77="",2026,$D77),IF(M$3=12,0.1*$G77,""),IF(2026-M$4&lt;$C77,"",M$4*$G77))</f>
        <v/>
      </c>
      <c r="N77" s="19" t="str">
        <f>IF(2026-N$3&gt;IF($D77="",2026,$D77),IF(N$3=12,0.1*$G77,""),IF(2026-N$4&lt;$C77,"",N$4*$G77))</f>
        <v/>
      </c>
      <c r="O77" s="19" t="str">
        <f>IF(2026-O$3&gt;IF($D77="",2026,$D77),IF(O$3=12,0.1*$G77,""),IF(2026-O$4&lt;$C77,"",O$4*$G77))</f>
        <v/>
      </c>
      <c r="P77" s="19" t="str">
        <f>IF(2026-P$3&gt;IF($D77="",2026,$D77),IF(P$3=12,0.1*$G77,""),IF(2026-P$4&lt;$C77,"",P$4*$G77))</f>
        <v/>
      </c>
      <c r="Q77" s="19" t="str">
        <f>IF(2026-Q$3&gt;IF($D77="",2026,$D77),IF(Q$3=12,0.1*$G77,""),IF(2026-Q$4&lt;$C77,"",Q$4*$G77))</f>
        <v/>
      </c>
      <c r="R77" s="19" t="str">
        <f>IF(2026-R$3&gt;IF($D77="",2026,$D77),IF(R$3=12,0.1*$G77,""),IF(2026-R$4&lt;$C77,"",R$4*$G77))</f>
        <v/>
      </c>
      <c r="S77" s="19" t="str">
        <f>IF(2026-S$3&gt;IF($D77="",2026,$D77),IF(S$3=12,0.1*$G77,""),IF(2026-S$4&lt;$C77,"",S$4*$G77))</f>
        <v/>
      </c>
      <c r="T77" s="19" t="str">
        <f>IF(2026-T$3&gt;IF($D77="",2026,$D77),IF(T$3=12,0.1*$G77,""),IF(2026-T$4&lt;$C77,"",T$4*$G77))</f>
        <v/>
      </c>
    </row>
    <row r="78" spans="1:20" s="18" customFormat="1" ht="12" customHeight="1" x14ac:dyDescent="0.2">
      <c r="A78" s="17"/>
      <c r="B78" s="16" t="s">
        <v>359</v>
      </c>
      <c r="C78" s="13">
        <v>2011</v>
      </c>
      <c r="D78" s="13">
        <v>2017</v>
      </c>
      <c r="E78" s="13">
        <v>3436</v>
      </c>
      <c r="F78" s="13">
        <v>350</v>
      </c>
      <c r="G78" s="21">
        <v>90200</v>
      </c>
      <c r="H78" s="20"/>
      <c r="I78" s="19">
        <f>IF(2026-I$3&gt;IF($D78="",2026,$D78),IF(I$3=12,0.1*$G78,""),IF(2026-I$4&lt;$C78,"",I$4*$G78))</f>
        <v>9020</v>
      </c>
      <c r="J78" s="19">
        <f>IF(2026-J$3&gt;IF($D78="",2026,$D78),IF(J$3=12,0.1*$G78,""),IF(2026-J$4&lt;$C78,"",J$4*$G78))</f>
        <v>11726</v>
      </c>
      <c r="K78" s="19">
        <f>IF(2026-K$3&gt;IF($D78="",2026,$D78),IF(K$3=12,0.1*$G78,""),IF(2026-K$4&lt;$C78,"",K$4*$G78))</f>
        <v>15334.000000000002</v>
      </c>
      <c r="L78" s="19">
        <f>IF(2026-L$3&gt;IF($D78="",2026,$D78),IF(L$3=12,0.1*$G78,""),IF(2026-L$4&lt;$C78,"",L$4*$G78))</f>
        <v>17138</v>
      </c>
      <c r="M78" s="19" t="str">
        <f>IF(2026-M$3&gt;IF($D78="",2026,$D78),IF(M$3=12,0.1*$G78,""),IF(2026-M$4&lt;$C78,"",M$4*$G78))</f>
        <v/>
      </c>
      <c r="N78" s="19" t="str">
        <f>IF(2026-N$3&gt;IF($D78="",2026,$D78),IF(N$3=12,0.1*$G78,""),IF(2026-N$4&lt;$C78,"",N$4*$G78))</f>
        <v/>
      </c>
      <c r="O78" s="19" t="str">
        <f>IF(2026-O$3&gt;IF($D78="",2026,$D78),IF(O$3=12,0.1*$G78,""),IF(2026-O$4&lt;$C78,"",O$4*$G78))</f>
        <v/>
      </c>
      <c r="P78" s="19" t="str">
        <f>IF(2026-P$3&gt;IF($D78="",2026,$D78),IF(P$3=12,0.1*$G78,""),IF(2026-P$4&lt;$C78,"",P$4*$G78))</f>
        <v/>
      </c>
      <c r="Q78" s="19" t="str">
        <f>IF(2026-Q$3&gt;IF($D78="",2026,$D78),IF(Q$3=12,0.1*$G78,""),IF(2026-Q$4&lt;$C78,"",Q$4*$G78))</f>
        <v/>
      </c>
      <c r="R78" s="19" t="str">
        <f>IF(2026-R$3&gt;IF($D78="",2026,$D78),IF(R$3=12,0.1*$G78,""),IF(2026-R$4&lt;$C78,"",R$4*$G78))</f>
        <v/>
      </c>
      <c r="S78" s="19" t="str">
        <f>IF(2026-S$3&gt;IF($D78="",2026,$D78),IF(S$3=12,0.1*$G78,""),IF(2026-S$4&lt;$C78,"",S$4*$G78))</f>
        <v/>
      </c>
      <c r="T78" s="19" t="str">
        <f>IF(2026-T$3&gt;IF($D78="",2026,$D78),IF(T$3=12,0.1*$G78,""),IF(2026-T$4&lt;$C78,"",T$4*$G78))</f>
        <v/>
      </c>
    </row>
    <row r="79" spans="1:20" s="18" customFormat="1" ht="12" customHeight="1" x14ac:dyDescent="0.2">
      <c r="A79" s="17"/>
      <c r="B79" s="16" t="s">
        <v>358</v>
      </c>
      <c r="C79" s="13">
        <v>2011</v>
      </c>
      <c r="D79" s="13">
        <v>2017</v>
      </c>
      <c r="E79" s="13">
        <v>3436</v>
      </c>
      <c r="F79" s="13">
        <v>350</v>
      </c>
      <c r="G79" s="21">
        <v>81700</v>
      </c>
      <c r="H79" s="20"/>
      <c r="I79" s="19">
        <f>IF(2026-I$3&gt;IF($D79="",2026,$D79),IF(I$3=12,0.1*$G79,""),IF(2026-I$4&lt;$C79,"",I$4*$G79))</f>
        <v>8170</v>
      </c>
      <c r="J79" s="19">
        <f>IF(2026-J$3&gt;IF($D79="",2026,$D79),IF(J$3=12,0.1*$G79,""),IF(2026-J$4&lt;$C79,"",J$4*$G79))</f>
        <v>10621</v>
      </c>
      <c r="K79" s="19">
        <f>IF(2026-K$3&gt;IF($D79="",2026,$D79),IF(K$3=12,0.1*$G79,""),IF(2026-K$4&lt;$C79,"",K$4*$G79))</f>
        <v>13889.000000000002</v>
      </c>
      <c r="L79" s="19">
        <f>IF(2026-L$3&gt;IF($D79="",2026,$D79),IF(L$3=12,0.1*$G79,""),IF(2026-L$4&lt;$C79,"",L$4*$G79))</f>
        <v>15523</v>
      </c>
      <c r="M79" s="19" t="str">
        <f>IF(2026-M$3&gt;IF($D79="",2026,$D79),IF(M$3=12,0.1*$G79,""),IF(2026-M$4&lt;$C79,"",M$4*$G79))</f>
        <v/>
      </c>
      <c r="N79" s="19" t="str">
        <f>IF(2026-N$3&gt;IF($D79="",2026,$D79),IF(N$3=12,0.1*$G79,""),IF(2026-N$4&lt;$C79,"",N$4*$G79))</f>
        <v/>
      </c>
      <c r="O79" s="19" t="str">
        <f>IF(2026-O$3&gt;IF($D79="",2026,$D79),IF(O$3=12,0.1*$G79,""),IF(2026-O$4&lt;$C79,"",O$4*$G79))</f>
        <v/>
      </c>
      <c r="P79" s="19" t="str">
        <f>IF(2026-P$3&gt;IF($D79="",2026,$D79),IF(P$3=12,0.1*$G79,""),IF(2026-P$4&lt;$C79,"",P$4*$G79))</f>
        <v/>
      </c>
      <c r="Q79" s="19" t="str">
        <f>IF(2026-Q$3&gt;IF($D79="",2026,$D79),IF(Q$3=12,0.1*$G79,""),IF(2026-Q$4&lt;$C79,"",Q$4*$G79))</f>
        <v/>
      </c>
      <c r="R79" s="19" t="str">
        <f>IF(2026-R$3&gt;IF($D79="",2026,$D79),IF(R$3=12,0.1*$G79,""),IF(2026-R$4&lt;$C79,"",R$4*$G79))</f>
        <v/>
      </c>
      <c r="S79" s="19" t="str">
        <f>IF(2026-S$3&gt;IF($D79="",2026,$D79),IF(S$3=12,0.1*$G79,""),IF(2026-S$4&lt;$C79,"",S$4*$G79))</f>
        <v/>
      </c>
      <c r="T79" s="19" t="str">
        <f>IF(2026-T$3&gt;IF($D79="",2026,$D79),IF(T$3=12,0.1*$G79,""),IF(2026-T$4&lt;$C79,"",T$4*$G79))</f>
        <v/>
      </c>
    </row>
    <row r="80" spans="1:20" s="18" customFormat="1" ht="12" customHeight="1" x14ac:dyDescent="0.2">
      <c r="A80" s="17"/>
      <c r="B80" s="16" t="s">
        <v>357</v>
      </c>
      <c r="C80" s="13">
        <v>2011</v>
      </c>
      <c r="D80" s="13">
        <v>2017</v>
      </c>
      <c r="E80" s="13">
        <v>3800</v>
      </c>
      <c r="F80" s="13">
        <v>400</v>
      </c>
      <c r="G80" s="21">
        <v>118300</v>
      </c>
      <c r="H80" s="20"/>
      <c r="I80" s="19">
        <f>IF(2026-I$3&gt;IF($D80="",2026,$D80),IF(I$3=12,0.1*$G80,""),IF(2026-I$4&lt;$C80,"",I$4*$G80))</f>
        <v>11830</v>
      </c>
      <c r="J80" s="19">
        <f>IF(2026-J$3&gt;IF($D80="",2026,$D80),IF(J$3=12,0.1*$G80,""),IF(2026-J$4&lt;$C80,"",J$4*$G80))</f>
        <v>15379</v>
      </c>
      <c r="K80" s="19">
        <f>IF(2026-K$3&gt;IF($D80="",2026,$D80),IF(K$3=12,0.1*$G80,""),IF(2026-K$4&lt;$C80,"",K$4*$G80))</f>
        <v>20111</v>
      </c>
      <c r="L80" s="19">
        <f>IF(2026-L$3&gt;IF($D80="",2026,$D80),IF(L$3=12,0.1*$G80,""),IF(2026-L$4&lt;$C80,"",L$4*$G80))</f>
        <v>22477</v>
      </c>
      <c r="M80" s="19" t="str">
        <f>IF(2026-M$3&gt;IF($D80="",2026,$D80),IF(M$3=12,0.1*$G80,""),IF(2026-M$4&lt;$C80,"",M$4*$G80))</f>
        <v/>
      </c>
      <c r="N80" s="19" t="str">
        <f>IF(2026-N$3&gt;IF($D80="",2026,$D80),IF(N$3=12,0.1*$G80,""),IF(2026-N$4&lt;$C80,"",N$4*$G80))</f>
        <v/>
      </c>
      <c r="O80" s="19" t="str">
        <f>IF(2026-O$3&gt;IF($D80="",2026,$D80),IF(O$3=12,0.1*$G80,""),IF(2026-O$4&lt;$C80,"",O$4*$G80))</f>
        <v/>
      </c>
      <c r="P80" s="19" t="str">
        <f>IF(2026-P$3&gt;IF($D80="",2026,$D80),IF(P$3=12,0.1*$G80,""),IF(2026-P$4&lt;$C80,"",P$4*$G80))</f>
        <v/>
      </c>
      <c r="Q80" s="19" t="str">
        <f>IF(2026-Q$3&gt;IF($D80="",2026,$D80),IF(Q$3=12,0.1*$G80,""),IF(2026-Q$4&lt;$C80,"",Q$4*$G80))</f>
        <v/>
      </c>
      <c r="R80" s="19" t="str">
        <f>IF(2026-R$3&gt;IF($D80="",2026,$D80),IF(R$3=12,0.1*$G80,""),IF(2026-R$4&lt;$C80,"",R$4*$G80))</f>
        <v/>
      </c>
      <c r="S80" s="19" t="str">
        <f>IF(2026-S$3&gt;IF($D80="",2026,$D80),IF(S$3=12,0.1*$G80,""),IF(2026-S$4&lt;$C80,"",S$4*$G80))</f>
        <v/>
      </c>
      <c r="T80" s="19" t="str">
        <f>IF(2026-T$3&gt;IF($D80="",2026,$D80),IF(T$3=12,0.1*$G80,""),IF(2026-T$4&lt;$C80,"",T$4*$G80))</f>
        <v/>
      </c>
    </row>
    <row r="81" spans="1:20" s="18" customFormat="1" ht="12" customHeight="1" x14ac:dyDescent="0.2">
      <c r="A81" s="17"/>
      <c r="B81" s="16" t="s">
        <v>356</v>
      </c>
      <c r="C81" s="13">
        <v>2011</v>
      </c>
      <c r="D81" s="13">
        <v>2017</v>
      </c>
      <c r="E81" s="13">
        <v>3800</v>
      </c>
      <c r="F81" s="13">
        <v>400</v>
      </c>
      <c r="G81" s="21">
        <v>121500</v>
      </c>
      <c r="H81" s="20"/>
      <c r="I81" s="19">
        <f>IF(2026-I$3&gt;IF($D81="",2026,$D81),IF(I$3=12,0.1*$G81,""),IF(2026-I$4&lt;$C81,"",I$4*$G81))</f>
        <v>12150</v>
      </c>
      <c r="J81" s="19">
        <f>IF(2026-J$3&gt;IF($D81="",2026,$D81),IF(J$3=12,0.1*$G81,""),IF(2026-J$4&lt;$C81,"",J$4*$G81))</f>
        <v>15795</v>
      </c>
      <c r="K81" s="19">
        <f>IF(2026-K$3&gt;IF($D81="",2026,$D81),IF(K$3=12,0.1*$G81,""),IF(2026-K$4&lt;$C81,"",K$4*$G81))</f>
        <v>20655</v>
      </c>
      <c r="L81" s="19">
        <f>IF(2026-L$3&gt;IF($D81="",2026,$D81),IF(L$3=12,0.1*$G81,""),IF(2026-L$4&lt;$C81,"",L$4*$G81))</f>
        <v>23085</v>
      </c>
      <c r="M81" s="19" t="str">
        <f>IF(2026-M$3&gt;IF($D81="",2026,$D81),IF(M$3=12,0.1*$G81,""),IF(2026-M$4&lt;$C81,"",M$4*$G81))</f>
        <v/>
      </c>
      <c r="N81" s="19" t="str">
        <f>IF(2026-N$3&gt;IF($D81="",2026,$D81),IF(N$3=12,0.1*$G81,""),IF(2026-N$4&lt;$C81,"",N$4*$G81))</f>
        <v/>
      </c>
      <c r="O81" s="19" t="str">
        <f>IF(2026-O$3&gt;IF($D81="",2026,$D81),IF(O$3=12,0.1*$G81,""),IF(2026-O$4&lt;$C81,"",O$4*$G81))</f>
        <v/>
      </c>
      <c r="P81" s="19" t="str">
        <f>IF(2026-P$3&gt;IF($D81="",2026,$D81),IF(P$3=12,0.1*$G81,""),IF(2026-P$4&lt;$C81,"",P$4*$G81))</f>
        <v/>
      </c>
      <c r="Q81" s="19" t="str">
        <f>IF(2026-Q$3&gt;IF($D81="",2026,$D81),IF(Q$3=12,0.1*$G81,""),IF(2026-Q$4&lt;$C81,"",Q$4*$G81))</f>
        <v/>
      </c>
      <c r="R81" s="19" t="str">
        <f>IF(2026-R$3&gt;IF($D81="",2026,$D81),IF(R$3=12,0.1*$G81,""),IF(2026-R$4&lt;$C81,"",R$4*$G81))</f>
        <v/>
      </c>
      <c r="S81" s="19" t="str">
        <f>IF(2026-S$3&gt;IF($D81="",2026,$D81),IF(S$3=12,0.1*$G81,""),IF(2026-S$4&lt;$C81,"",S$4*$G81))</f>
        <v/>
      </c>
      <c r="T81" s="19" t="str">
        <f>IF(2026-T$3&gt;IF($D81="",2026,$D81),IF(T$3=12,0.1*$G81,""),IF(2026-T$4&lt;$C81,"",T$4*$G81))</f>
        <v/>
      </c>
    </row>
    <row r="82" spans="1:20" s="18" customFormat="1" ht="12" customHeight="1" x14ac:dyDescent="0.2">
      <c r="A82" s="17"/>
      <c r="B82" s="16" t="s">
        <v>355</v>
      </c>
      <c r="C82" s="13">
        <v>2011</v>
      </c>
      <c r="D82" s="13">
        <v>2017</v>
      </c>
      <c r="E82" s="13">
        <v>3800</v>
      </c>
      <c r="F82" s="13">
        <v>400</v>
      </c>
      <c r="G82" s="21">
        <v>106400</v>
      </c>
      <c r="H82" s="20"/>
      <c r="I82" s="19">
        <f>IF(2026-I$3&gt;IF($D82="",2026,$D82),IF(I$3=12,0.1*$G82,""),IF(2026-I$4&lt;$C82,"",I$4*$G82))</f>
        <v>10640</v>
      </c>
      <c r="J82" s="19">
        <f>IF(2026-J$3&gt;IF($D82="",2026,$D82),IF(J$3=12,0.1*$G82,""),IF(2026-J$4&lt;$C82,"",J$4*$G82))</f>
        <v>13832</v>
      </c>
      <c r="K82" s="19">
        <f>IF(2026-K$3&gt;IF($D82="",2026,$D82),IF(K$3=12,0.1*$G82,""),IF(2026-K$4&lt;$C82,"",K$4*$G82))</f>
        <v>18088</v>
      </c>
      <c r="L82" s="19">
        <f>IF(2026-L$3&gt;IF($D82="",2026,$D82),IF(L$3=12,0.1*$G82,""),IF(2026-L$4&lt;$C82,"",L$4*$G82))</f>
        <v>20216</v>
      </c>
      <c r="M82" s="19" t="str">
        <f>IF(2026-M$3&gt;IF($D82="",2026,$D82),IF(M$3=12,0.1*$G82,""),IF(2026-M$4&lt;$C82,"",M$4*$G82))</f>
        <v/>
      </c>
      <c r="N82" s="19" t="str">
        <f>IF(2026-N$3&gt;IF($D82="",2026,$D82),IF(N$3=12,0.1*$G82,""),IF(2026-N$4&lt;$C82,"",N$4*$G82))</f>
        <v/>
      </c>
      <c r="O82" s="19" t="str">
        <f>IF(2026-O$3&gt;IF($D82="",2026,$D82),IF(O$3=12,0.1*$G82,""),IF(2026-O$4&lt;$C82,"",O$4*$G82))</f>
        <v/>
      </c>
      <c r="P82" s="19" t="str">
        <f>IF(2026-P$3&gt;IF($D82="",2026,$D82),IF(P$3=12,0.1*$G82,""),IF(2026-P$4&lt;$C82,"",P$4*$G82))</f>
        <v/>
      </c>
      <c r="Q82" s="19" t="str">
        <f>IF(2026-Q$3&gt;IF($D82="",2026,$D82),IF(Q$3=12,0.1*$G82,""),IF(2026-Q$4&lt;$C82,"",Q$4*$G82))</f>
        <v/>
      </c>
      <c r="R82" s="19" t="str">
        <f>IF(2026-R$3&gt;IF($D82="",2026,$D82),IF(R$3=12,0.1*$G82,""),IF(2026-R$4&lt;$C82,"",R$4*$G82))</f>
        <v/>
      </c>
      <c r="S82" s="19" t="str">
        <f>IF(2026-S$3&gt;IF($D82="",2026,$D82),IF(S$3=12,0.1*$G82,""),IF(2026-S$4&lt;$C82,"",S$4*$G82))</f>
        <v/>
      </c>
      <c r="T82" s="19" t="str">
        <f>IF(2026-T$3&gt;IF($D82="",2026,$D82),IF(T$3=12,0.1*$G82,""),IF(2026-T$4&lt;$C82,"",T$4*$G82))</f>
        <v/>
      </c>
    </row>
    <row r="83" spans="1:20" s="18" customFormat="1" ht="12" customHeight="1" x14ac:dyDescent="0.2">
      <c r="A83" s="17"/>
      <c r="B83" s="16" t="s">
        <v>354</v>
      </c>
      <c r="C83" s="13">
        <v>2011</v>
      </c>
      <c r="D83" s="13">
        <v>2017</v>
      </c>
      <c r="E83" s="13">
        <v>3800</v>
      </c>
      <c r="F83" s="13">
        <v>400</v>
      </c>
      <c r="G83" s="21">
        <v>109600</v>
      </c>
      <c r="H83" s="20"/>
      <c r="I83" s="19">
        <f>IF(2026-I$3&gt;IF($D83="",2026,$D83),IF(I$3=12,0.1*$G83,""),IF(2026-I$4&lt;$C83,"",I$4*$G83))</f>
        <v>10960</v>
      </c>
      <c r="J83" s="19">
        <f>IF(2026-J$3&gt;IF($D83="",2026,$D83),IF(J$3=12,0.1*$G83,""),IF(2026-J$4&lt;$C83,"",J$4*$G83))</f>
        <v>14248</v>
      </c>
      <c r="K83" s="19">
        <f>IF(2026-K$3&gt;IF($D83="",2026,$D83),IF(K$3=12,0.1*$G83,""),IF(2026-K$4&lt;$C83,"",K$4*$G83))</f>
        <v>18632</v>
      </c>
      <c r="L83" s="19">
        <f>IF(2026-L$3&gt;IF($D83="",2026,$D83),IF(L$3=12,0.1*$G83,""),IF(2026-L$4&lt;$C83,"",L$4*$G83))</f>
        <v>20824</v>
      </c>
      <c r="M83" s="19" t="str">
        <f>IF(2026-M$3&gt;IF($D83="",2026,$D83),IF(M$3=12,0.1*$G83,""),IF(2026-M$4&lt;$C83,"",M$4*$G83))</f>
        <v/>
      </c>
      <c r="N83" s="19" t="str">
        <f>IF(2026-N$3&gt;IF($D83="",2026,$D83),IF(N$3=12,0.1*$G83,""),IF(2026-N$4&lt;$C83,"",N$4*$G83))</f>
        <v/>
      </c>
      <c r="O83" s="19" t="str">
        <f>IF(2026-O$3&gt;IF($D83="",2026,$D83),IF(O$3=12,0.1*$G83,""),IF(2026-O$4&lt;$C83,"",O$4*$G83))</f>
        <v/>
      </c>
      <c r="P83" s="19" t="str">
        <f>IF(2026-P$3&gt;IF($D83="",2026,$D83),IF(P$3=12,0.1*$G83,""),IF(2026-P$4&lt;$C83,"",P$4*$G83))</f>
        <v/>
      </c>
      <c r="Q83" s="19" t="str">
        <f>IF(2026-Q$3&gt;IF($D83="",2026,$D83),IF(Q$3=12,0.1*$G83,""),IF(2026-Q$4&lt;$C83,"",Q$4*$G83))</f>
        <v/>
      </c>
      <c r="R83" s="19" t="str">
        <f>IF(2026-R$3&gt;IF($D83="",2026,$D83),IF(R$3=12,0.1*$G83,""),IF(2026-R$4&lt;$C83,"",R$4*$G83))</f>
        <v/>
      </c>
      <c r="S83" s="19" t="str">
        <f>IF(2026-S$3&gt;IF($D83="",2026,$D83),IF(S$3=12,0.1*$G83,""),IF(2026-S$4&lt;$C83,"",S$4*$G83))</f>
        <v/>
      </c>
      <c r="T83" s="19" t="str">
        <f>IF(2026-T$3&gt;IF($D83="",2026,$D83),IF(T$3=12,0.1*$G83,""),IF(2026-T$4&lt;$C83,"",T$4*$G83))</f>
        <v/>
      </c>
    </row>
    <row r="84" spans="1:20" s="18" customFormat="1" ht="12" customHeight="1" x14ac:dyDescent="0.2">
      <c r="A84" s="17"/>
      <c r="B84" s="16" t="s">
        <v>353</v>
      </c>
      <c r="C84" s="13">
        <v>2011</v>
      </c>
      <c r="D84" s="13">
        <v>2017</v>
      </c>
      <c r="E84" s="13">
        <v>3800</v>
      </c>
      <c r="F84" s="13">
        <v>400</v>
      </c>
      <c r="G84" s="21">
        <v>111600</v>
      </c>
      <c r="H84" s="20"/>
      <c r="I84" s="19">
        <f>IF(2026-I$3&gt;IF($D84="",2026,$D84),IF(I$3=12,0.1*$G84,""),IF(2026-I$4&lt;$C84,"",I$4*$G84))</f>
        <v>11160</v>
      </c>
      <c r="J84" s="19">
        <f>IF(2026-J$3&gt;IF($D84="",2026,$D84),IF(J$3=12,0.1*$G84,""),IF(2026-J$4&lt;$C84,"",J$4*$G84))</f>
        <v>14508</v>
      </c>
      <c r="K84" s="19">
        <f>IF(2026-K$3&gt;IF($D84="",2026,$D84),IF(K$3=12,0.1*$G84,""),IF(2026-K$4&lt;$C84,"",K$4*$G84))</f>
        <v>18972</v>
      </c>
      <c r="L84" s="19">
        <f>IF(2026-L$3&gt;IF($D84="",2026,$D84),IF(L$3=12,0.1*$G84,""),IF(2026-L$4&lt;$C84,"",L$4*$G84))</f>
        <v>21204</v>
      </c>
      <c r="M84" s="19" t="str">
        <f>IF(2026-M$3&gt;IF($D84="",2026,$D84),IF(M$3=12,0.1*$G84,""),IF(2026-M$4&lt;$C84,"",M$4*$G84))</f>
        <v/>
      </c>
      <c r="N84" s="19" t="str">
        <f>IF(2026-N$3&gt;IF($D84="",2026,$D84),IF(N$3=12,0.1*$G84,""),IF(2026-N$4&lt;$C84,"",N$4*$G84))</f>
        <v/>
      </c>
      <c r="O84" s="19" t="str">
        <f>IF(2026-O$3&gt;IF($D84="",2026,$D84),IF(O$3=12,0.1*$G84,""),IF(2026-O$4&lt;$C84,"",O$4*$G84))</f>
        <v/>
      </c>
      <c r="P84" s="19" t="str">
        <f>IF(2026-P$3&gt;IF($D84="",2026,$D84),IF(P$3=12,0.1*$G84,""),IF(2026-P$4&lt;$C84,"",P$4*$G84))</f>
        <v/>
      </c>
      <c r="Q84" s="19" t="str">
        <f>IF(2026-Q$3&gt;IF($D84="",2026,$D84),IF(Q$3=12,0.1*$G84,""),IF(2026-Q$4&lt;$C84,"",Q$4*$G84))</f>
        <v/>
      </c>
      <c r="R84" s="19" t="str">
        <f>IF(2026-R$3&gt;IF($D84="",2026,$D84),IF(R$3=12,0.1*$G84,""),IF(2026-R$4&lt;$C84,"",R$4*$G84))</f>
        <v/>
      </c>
      <c r="S84" s="19" t="str">
        <f>IF(2026-S$3&gt;IF($D84="",2026,$D84),IF(S$3=12,0.1*$G84,""),IF(2026-S$4&lt;$C84,"",S$4*$G84))</f>
        <v/>
      </c>
      <c r="T84" s="19" t="str">
        <f>IF(2026-T$3&gt;IF($D84="",2026,$D84),IF(T$3=12,0.1*$G84,""),IF(2026-T$4&lt;$C84,"",T$4*$G84))</f>
        <v/>
      </c>
    </row>
    <row r="85" spans="1:20" s="18" customFormat="1" ht="12" customHeight="1" x14ac:dyDescent="0.2">
      <c r="A85" s="17"/>
      <c r="B85" s="16" t="s">
        <v>352</v>
      </c>
      <c r="C85" s="13">
        <v>2011</v>
      </c>
      <c r="D85" s="13">
        <v>2017</v>
      </c>
      <c r="E85" s="13">
        <v>3800</v>
      </c>
      <c r="F85" s="13">
        <v>400</v>
      </c>
      <c r="G85" s="21">
        <v>114800</v>
      </c>
      <c r="H85" s="20"/>
      <c r="I85" s="19">
        <f>IF(2026-I$3&gt;IF($D85="",2026,$D85),IF(I$3=12,0.1*$G85,""),IF(2026-I$4&lt;$C85,"",I$4*$G85))</f>
        <v>11480</v>
      </c>
      <c r="J85" s="19">
        <f>IF(2026-J$3&gt;IF($D85="",2026,$D85),IF(J$3=12,0.1*$G85,""),IF(2026-J$4&lt;$C85,"",J$4*$G85))</f>
        <v>14924</v>
      </c>
      <c r="K85" s="19">
        <f>IF(2026-K$3&gt;IF($D85="",2026,$D85),IF(K$3=12,0.1*$G85,""),IF(2026-K$4&lt;$C85,"",K$4*$G85))</f>
        <v>19516</v>
      </c>
      <c r="L85" s="19">
        <f>IF(2026-L$3&gt;IF($D85="",2026,$D85),IF(L$3=12,0.1*$G85,""),IF(2026-L$4&lt;$C85,"",L$4*$G85))</f>
        <v>21812</v>
      </c>
      <c r="M85" s="19" t="str">
        <f>IF(2026-M$3&gt;IF($D85="",2026,$D85),IF(M$3=12,0.1*$G85,""),IF(2026-M$4&lt;$C85,"",M$4*$G85))</f>
        <v/>
      </c>
      <c r="N85" s="19" t="str">
        <f>IF(2026-N$3&gt;IF($D85="",2026,$D85),IF(N$3=12,0.1*$G85,""),IF(2026-N$4&lt;$C85,"",N$4*$G85))</f>
        <v/>
      </c>
      <c r="O85" s="19" t="str">
        <f>IF(2026-O$3&gt;IF($D85="",2026,$D85),IF(O$3=12,0.1*$G85,""),IF(2026-O$4&lt;$C85,"",O$4*$G85))</f>
        <v/>
      </c>
      <c r="P85" s="19" t="str">
        <f>IF(2026-P$3&gt;IF($D85="",2026,$D85),IF(P$3=12,0.1*$G85,""),IF(2026-P$4&lt;$C85,"",P$4*$G85))</f>
        <v/>
      </c>
      <c r="Q85" s="19" t="str">
        <f>IF(2026-Q$3&gt;IF($D85="",2026,$D85),IF(Q$3=12,0.1*$G85,""),IF(2026-Q$4&lt;$C85,"",Q$4*$G85))</f>
        <v/>
      </c>
      <c r="R85" s="19" t="str">
        <f>IF(2026-R$3&gt;IF($D85="",2026,$D85),IF(R$3=12,0.1*$G85,""),IF(2026-R$4&lt;$C85,"",R$4*$G85))</f>
        <v/>
      </c>
      <c r="S85" s="19" t="str">
        <f>IF(2026-S$3&gt;IF($D85="",2026,$D85),IF(S$3=12,0.1*$G85,""),IF(2026-S$4&lt;$C85,"",S$4*$G85))</f>
        <v/>
      </c>
      <c r="T85" s="19" t="str">
        <f>IF(2026-T$3&gt;IF($D85="",2026,$D85),IF(T$3=12,0.1*$G85,""),IF(2026-T$4&lt;$C85,"",T$4*$G85))</f>
        <v/>
      </c>
    </row>
    <row r="86" spans="1:20" s="18" customFormat="1" ht="12" customHeight="1" x14ac:dyDescent="0.2">
      <c r="A86" s="17"/>
      <c r="B86" s="16" t="s">
        <v>351</v>
      </c>
      <c r="C86" s="13">
        <v>2011</v>
      </c>
      <c r="D86" s="13">
        <v>2017</v>
      </c>
      <c r="E86" s="13">
        <v>3800</v>
      </c>
      <c r="F86" s="13">
        <v>400</v>
      </c>
      <c r="G86" s="21">
        <v>95000</v>
      </c>
      <c r="H86" s="20"/>
      <c r="I86" s="19">
        <f>IF(2026-I$3&gt;IF($D86="",2026,$D86),IF(I$3=12,0.1*$G86,""),IF(2026-I$4&lt;$C86,"",I$4*$G86))</f>
        <v>9500</v>
      </c>
      <c r="J86" s="19">
        <f>IF(2026-J$3&gt;IF($D86="",2026,$D86),IF(J$3=12,0.1*$G86,""),IF(2026-J$4&lt;$C86,"",J$4*$G86))</f>
        <v>12350</v>
      </c>
      <c r="K86" s="19">
        <f>IF(2026-K$3&gt;IF($D86="",2026,$D86),IF(K$3=12,0.1*$G86,""),IF(2026-K$4&lt;$C86,"",K$4*$G86))</f>
        <v>16150.000000000002</v>
      </c>
      <c r="L86" s="19">
        <f>IF(2026-L$3&gt;IF($D86="",2026,$D86),IF(L$3=12,0.1*$G86,""),IF(2026-L$4&lt;$C86,"",L$4*$G86))</f>
        <v>18050</v>
      </c>
      <c r="M86" s="19" t="str">
        <f>IF(2026-M$3&gt;IF($D86="",2026,$D86),IF(M$3=12,0.1*$G86,""),IF(2026-M$4&lt;$C86,"",M$4*$G86))</f>
        <v/>
      </c>
      <c r="N86" s="19" t="str">
        <f>IF(2026-N$3&gt;IF($D86="",2026,$D86),IF(N$3=12,0.1*$G86,""),IF(2026-N$4&lt;$C86,"",N$4*$G86))</f>
        <v/>
      </c>
      <c r="O86" s="19" t="str">
        <f>IF(2026-O$3&gt;IF($D86="",2026,$D86),IF(O$3=12,0.1*$G86,""),IF(2026-O$4&lt;$C86,"",O$4*$G86))</f>
        <v/>
      </c>
      <c r="P86" s="19" t="str">
        <f>IF(2026-P$3&gt;IF($D86="",2026,$D86),IF(P$3=12,0.1*$G86,""),IF(2026-P$4&lt;$C86,"",P$4*$G86))</f>
        <v/>
      </c>
      <c r="Q86" s="19" t="str">
        <f>IF(2026-Q$3&gt;IF($D86="",2026,$D86),IF(Q$3=12,0.1*$G86,""),IF(2026-Q$4&lt;$C86,"",Q$4*$G86))</f>
        <v/>
      </c>
      <c r="R86" s="19" t="str">
        <f>IF(2026-R$3&gt;IF($D86="",2026,$D86),IF(R$3=12,0.1*$G86,""),IF(2026-R$4&lt;$C86,"",R$4*$G86))</f>
        <v/>
      </c>
      <c r="S86" s="19" t="str">
        <f>IF(2026-S$3&gt;IF($D86="",2026,$D86),IF(S$3=12,0.1*$G86,""),IF(2026-S$4&lt;$C86,"",S$4*$G86))</f>
        <v/>
      </c>
      <c r="T86" s="19" t="str">
        <f>IF(2026-T$3&gt;IF($D86="",2026,$D86),IF(T$3=12,0.1*$G86,""),IF(2026-T$4&lt;$C86,"",T$4*$G86))</f>
        <v/>
      </c>
    </row>
    <row r="87" spans="1:20" s="18" customFormat="1" ht="12" customHeight="1" x14ac:dyDescent="0.2">
      <c r="A87" s="17"/>
      <c r="B87" s="16" t="s">
        <v>350</v>
      </c>
      <c r="C87" s="13">
        <v>2011</v>
      </c>
      <c r="D87" s="13">
        <v>2017</v>
      </c>
      <c r="E87" s="13">
        <v>3800</v>
      </c>
      <c r="F87" s="13">
        <v>400</v>
      </c>
      <c r="G87" s="21">
        <v>98100</v>
      </c>
      <c r="H87" s="20"/>
      <c r="I87" s="19">
        <f>IF(2026-I$3&gt;IF($D87="",2026,$D87),IF(I$3=12,0.1*$G87,""),IF(2026-I$4&lt;$C87,"",I$4*$G87))</f>
        <v>9810</v>
      </c>
      <c r="J87" s="19">
        <f>IF(2026-J$3&gt;IF($D87="",2026,$D87),IF(J$3=12,0.1*$G87,""),IF(2026-J$4&lt;$C87,"",J$4*$G87))</f>
        <v>12753</v>
      </c>
      <c r="K87" s="19">
        <f>IF(2026-K$3&gt;IF($D87="",2026,$D87),IF(K$3=12,0.1*$G87,""),IF(2026-K$4&lt;$C87,"",K$4*$G87))</f>
        <v>16677</v>
      </c>
      <c r="L87" s="19">
        <f>IF(2026-L$3&gt;IF($D87="",2026,$D87),IF(L$3=12,0.1*$G87,""),IF(2026-L$4&lt;$C87,"",L$4*$G87))</f>
        <v>18639</v>
      </c>
      <c r="M87" s="19" t="str">
        <f>IF(2026-M$3&gt;IF($D87="",2026,$D87),IF(M$3=12,0.1*$G87,""),IF(2026-M$4&lt;$C87,"",M$4*$G87))</f>
        <v/>
      </c>
      <c r="N87" s="19" t="str">
        <f>IF(2026-N$3&gt;IF($D87="",2026,$D87),IF(N$3=12,0.1*$G87,""),IF(2026-N$4&lt;$C87,"",N$4*$G87))</f>
        <v/>
      </c>
      <c r="O87" s="19" t="str">
        <f>IF(2026-O$3&gt;IF($D87="",2026,$D87),IF(O$3=12,0.1*$G87,""),IF(2026-O$4&lt;$C87,"",O$4*$G87))</f>
        <v/>
      </c>
      <c r="P87" s="19" t="str">
        <f>IF(2026-P$3&gt;IF($D87="",2026,$D87),IF(P$3=12,0.1*$G87,""),IF(2026-P$4&lt;$C87,"",P$4*$G87))</f>
        <v/>
      </c>
      <c r="Q87" s="19" t="str">
        <f>IF(2026-Q$3&gt;IF($D87="",2026,$D87),IF(Q$3=12,0.1*$G87,""),IF(2026-Q$4&lt;$C87,"",Q$4*$G87))</f>
        <v/>
      </c>
      <c r="R87" s="19" t="str">
        <f>IF(2026-R$3&gt;IF($D87="",2026,$D87),IF(R$3=12,0.1*$G87,""),IF(2026-R$4&lt;$C87,"",R$4*$G87))</f>
        <v/>
      </c>
      <c r="S87" s="19" t="str">
        <f>IF(2026-S$3&gt;IF($D87="",2026,$D87),IF(S$3=12,0.1*$G87,""),IF(2026-S$4&lt;$C87,"",S$4*$G87))</f>
        <v/>
      </c>
      <c r="T87" s="19" t="str">
        <f>IF(2026-T$3&gt;IF($D87="",2026,$D87),IF(T$3=12,0.1*$G87,""),IF(2026-T$4&lt;$C87,"",T$4*$G87))</f>
        <v/>
      </c>
    </row>
    <row r="88" spans="1:20" s="18" customFormat="1" ht="12" customHeight="1" x14ac:dyDescent="0.2">
      <c r="A88" s="17"/>
      <c r="B88" s="16" t="s">
        <v>349</v>
      </c>
      <c r="C88" s="13">
        <v>2011</v>
      </c>
      <c r="D88" s="13"/>
      <c r="E88" s="13">
        <v>3800</v>
      </c>
      <c r="F88" s="13">
        <v>408</v>
      </c>
      <c r="G88" s="21">
        <v>192800</v>
      </c>
      <c r="H88" s="20"/>
      <c r="I88" s="19">
        <f>IF(2026-I$3&gt;IF($D88="",2026,$D88),IF(I$3=12,0.1*$G88,""),IF(2026-I$4&lt;$C88,"",I$4*$G88))</f>
        <v>19280</v>
      </c>
      <c r="J88" s="19">
        <f>IF(2026-J$3&gt;IF($D88="",2026,$D88),IF(J$3=12,0.1*$G88,""),IF(2026-J$4&lt;$C88,"",J$4*$G88))</f>
        <v>25064</v>
      </c>
      <c r="K88" s="19">
        <f>IF(2026-K$3&gt;IF($D88="",2026,$D88),IF(K$3=12,0.1*$G88,""),IF(2026-K$4&lt;$C88,"",K$4*$G88))</f>
        <v>32776</v>
      </c>
      <c r="L88" s="19">
        <f>IF(2026-L$3&gt;IF($D88="",2026,$D88),IF(L$3=12,0.1*$G88,""),IF(2026-L$4&lt;$C88,"",L$4*$G88))</f>
        <v>36632</v>
      </c>
      <c r="M88" s="19">
        <f>IF(2026-M$3&gt;IF($D88="",2026,$D88),IF(M$3=12,0.1*$G88,""),IF(2026-M$4&lt;$C88,"",M$4*$G88))</f>
        <v>46272</v>
      </c>
      <c r="N88" s="19">
        <f>IF(2026-N$3&gt;IF($D88="",2026,$D88),IF(N$3=12,0.1*$G88,""),IF(2026-N$4&lt;$C88,"",N$4*$G88))</f>
        <v>53984.000000000007</v>
      </c>
      <c r="O88" s="19">
        <f>IF(2026-O$3&gt;IF($D88="",2026,$D88),IF(O$3=12,0.1*$G88,""),IF(2026-O$4&lt;$C88,"",O$4*$G88))</f>
        <v>65552</v>
      </c>
      <c r="P88" s="19">
        <f>IF(2026-P$3&gt;IF($D88="",2026,$D88),IF(P$3=12,0.1*$G88,""),IF(2026-P$4&lt;$C88,"",P$4*$G88))</f>
        <v>75192</v>
      </c>
      <c r="Q88" s="19">
        <f>IF(2026-Q$3&gt;IF($D88="",2026,$D88),IF(Q$3=12,0.1*$G88,""),IF(2026-Q$4&lt;$C88,"",Q$4*$G88))</f>
        <v>90616</v>
      </c>
      <c r="R88" s="19">
        <f>IF(2026-R$3&gt;IF($D88="",2026,$D88),IF(R$3=12,0.1*$G88,""),IF(2026-R$4&lt;$C88,"",R$4*$G88))</f>
        <v>107968.00000000001</v>
      </c>
      <c r="S88" s="19">
        <f>IF(2026-S$3&gt;IF($D88="",2026,$D88),IF(S$3=12,0.1*$G88,""),IF(2026-S$4&lt;$C88,"",S$4*$G88))</f>
        <v>129176.00000000001</v>
      </c>
      <c r="T88" s="19">
        <f>IF(2026-T$3&gt;IF($D88="",2026,$D88),IF(T$3=12,0.1*$G88,""),IF(2026-T$4&lt;$C88,"",T$4*$G88))</f>
        <v>161952</v>
      </c>
    </row>
    <row r="89" spans="1:20" s="18" customFormat="1" ht="12" customHeight="1" x14ac:dyDescent="0.2">
      <c r="A89" s="17"/>
      <c r="B89" s="16" t="s">
        <v>348</v>
      </c>
      <c r="C89" s="13">
        <v>2011</v>
      </c>
      <c r="D89" s="13">
        <v>2017</v>
      </c>
      <c r="E89" s="13">
        <v>3800</v>
      </c>
      <c r="F89" s="13">
        <v>430</v>
      </c>
      <c r="G89" s="21">
        <v>129900</v>
      </c>
      <c r="H89" s="20"/>
      <c r="I89" s="19">
        <f>IF(2026-I$3&gt;IF($D89="",2026,$D89),IF(I$3=12,0.1*$G89,""),IF(2026-I$4&lt;$C89,"",I$4*$G89))</f>
        <v>12990</v>
      </c>
      <c r="J89" s="19">
        <f>IF(2026-J$3&gt;IF($D89="",2026,$D89),IF(J$3=12,0.1*$G89,""),IF(2026-J$4&lt;$C89,"",J$4*$G89))</f>
        <v>16887</v>
      </c>
      <c r="K89" s="19">
        <f>IF(2026-K$3&gt;IF($D89="",2026,$D89),IF(K$3=12,0.1*$G89,""),IF(2026-K$4&lt;$C89,"",K$4*$G89))</f>
        <v>22083</v>
      </c>
      <c r="L89" s="19">
        <f>IF(2026-L$3&gt;IF($D89="",2026,$D89),IF(L$3=12,0.1*$G89,""),IF(2026-L$4&lt;$C89,"",L$4*$G89))</f>
        <v>24681</v>
      </c>
      <c r="M89" s="19" t="str">
        <f>IF(2026-M$3&gt;IF($D89="",2026,$D89),IF(M$3=12,0.1*$G89,""),IF(2026-M$4&lt;$C89,"",M$4*$G89))</f>
        <v/>
      </c>
      <c r="N89" s="19" t="str">
        <f>IF(2026-N$3&gt;IF($D89="",2026,$D89),IF(N$3=12,0.1*$G89,""),IF(2026-N$4&lt;$C89,"",N$4*$G89))</f>
        <v/>
      </c>
      <c r="O89" s="19" t="str">
        <f>IF(2026-O$3&gt;IF($D89="",2026,$D89),IF(O$3=12,0.1*$G89,""),IF(2026-O$4&lt;$C89,"",O$4*$G89))</f>
        <v/>
      </c>
      <c r="P89" s="19" t="str">
        <f>IF(2026-P$3&gt;IF($D89="",2026,$D89),IF(P$3=12,0.1*$G89,""),IF(2026-P$4&lt;$C89,"",P$4*$G89))</f>
        <v/>
      </c>
      <c r="Q89" s="19" t="str">
        <f>IF(2026-Q$3&gt;IF($D89="",2026,$D89),IF(Q$3=12,0.1*$G89,""),IF(2026-Q$4&lt;$C89,"",Q$4*$G89))</f>
        <v/>
      </c>
      <c r="R89" s="19" t="str">
        <f>IF(2026-R$3&gt;IF($D89="",2026,$D89),IF(R$3=12,0.1*$G89,""),IF(2026-R$4&lt;$C89,"",R$4*$G89))</f>
        <v/>
      </c>
      <c r="S89" s="19" t="str">
        <f>IF(2026-S$3&gt;IF($D89="",2026,$D89),IF(S$3=12,0.1*$G89,""),IF(2026-S$4&lt;$C89,"",S$4*$G89))</f>
        <v/>
      </c>
      <c r="T89" s="19" t="str">
        <f>IF(2026-T$3&gt;IF($D89="",2026,$D89),IF(T$3=12,0.1*$G89,""),IF(2026-T$4&lt;$C89,"",T$4*$G89))</f>
        <v/>
      </c>
    </row>
    <row r="90" spans="1:20" s="18" customFormat="1" ht="12" customHeight="1" x14ac:dyDescent="0.2">
      <c r="A90" s="17"/>
      <c r="B90" s="16" t="s">
        <v>347</v>
      </c>
      <c r="C90" s="13">
        <v>2011</v>
      </c>
      <c r="D90" s="13">
        <v>2017</v>
      </c>
      <c r="E90" s="13">
        <v>3800</v>
      </c>
      <c r="F90" s="13">
        <v>430</v>
      </c>
      <c r="G90" s="21">
        <v>133800</v>
      </c>
      <c r="H90" s="20"/>
      <c r="I90" s="19">
        <f>IF(2026-I$3&gt;IF($D90="",2026,$D90),IF(I$3=12,0.1*$G90,""),IF(2026-I$4&lt;$C90,"",I$4*$G90))</f>
        <v>13380</v>
      </c>
      <c r="J90" s="19">
        <f>IF(2026-J$3&gt;IF($D90="",2026,$D90),IF(J$3=12,0.1*$G90,""),IF(2026-J$4&lt;$C90,"",J$4*$G90))</f>
        <v>17394</v>
      </c>
      <c r="K90" s="19">
        <f>IF(2026-K$3&gt;IF($D90="",2026,$D90),IF(K$3=12,0.1*$G90,""),IF(2026-K$4&lt;$C90,"",K$4*$G90))</f>
        <v>22746</v>
      </c>
      <c r="L90" s="19">
        <f>IF(2026-L$3&gt;IF($D90="",2026,$D90),IF(L$3=12,0.1*$G90,""),IF(2026-L$4&lt;$C90,"",L$4*$G90))</f>
        <v>25422</v>
      </c>
      <c r="M90" s="19" t="str">
        <f>IF(2026-M$3&gt;IF($D90="",2026,$D90),IF(M$3=12,0.1*$G90,""),IF(2026-M$4&lt;$C90,"",M$4*$G90))</f>
        <v/>
      </c>
      <c r="N90" s="19" t="str">
        <f>IF(2026-N$3&gt;IF($D90="",2026,$D90),IF(N$3=12,0.1*$G90,""),IF(2026-N$4&lt;$C90,"",N$4*$G90))</f>
        <v/>
      </c>
      <c r="O90" s="19" t="str">
        <f>IF(2026-O$3&gt;IF($D90="",2026,$D90),IF(O$3=12,0.1*$G90,""),IF(2026-O$4&lt;$C90,"",O$4*$G90))</f>
        <v/>
      </c>
      <c r="P90" s="19" t="str">
        <f>IF(2026-P$3&gt;IF($D90="",2026,$D90),IF(P$3=12,0.1*$G90,""),IF(2026-P$4&lt;$C90,"",P$4*$G90))</f>
        <v/>
      </c>
      <c r="Q90" s="19" t="str">
        <f>IF(2026-Q$3&gt;IF($D90="",2026,$D90),IF(Q$3=12,0.1*$G90,""),IF(2026-Q$4&lt;$C90,"",Q$4*$G90))</f>
        <v/>
      </c>
      <c r="R90" s="19" t="str">
        <f>IF(2026-R$3&gt;IF($D90="",2026,$D90),IF(R$3=12,0.1*$G90,""),IF(2026-R$4&lt;$C90,"",R$4*$G90))</f>
        <v/>
      </c>
      <c r="S90" s="19" t="str">
        <f>IF(2026-S$3&gt;IF($D90="",2026,$D90),IF(S$3=12,0.1*$G90,""),IF(2026-S$4&lt;$C90,"",S$4*$G90))</f>
        <v/>
      </c>
      <c r="T90" s="19" t="str">
        <f>IF(2026-T$3&gt;IF($D90="",2026,$D90),IF(T$3=12,0.1*$G90,""),IF(2026-T$4&lt;$C90,"",T$4*$G90))</f>
        <v/>
      </c>
    </row>
    <row r="91" spans="1:20" s="18" customFormat="1" ht="12" customHeight="1" x14ac:dyDescent="0.2">
      <c r="A91" s="17"/>
      <c r="B91" s="16" t="s">
        <v>346</v>
      </c>
      <c r="C91" s="13">
        <v>2011</v>
      </c>
      <c r="D91" s="13">
        <v>2017</v>
      </c>
      <c r="E91" s="13">
        <v>3800</v>
      </c>
      <c r="F91" s="13">
        <v>430</v>
      </c>
      <c r="G91" s="21">
        <v>118000</v>
      </c>
      <c r="H91" s="20"/>
      <c r="I91" s="19">
        <f>IF(2026-I$3&gt;IF($D91="",2026,$D91),IF(I$3=12,0.1*$G91,""),IF(2026-I$4&lt;$C91,"",I$4*$G91))</f>
        <v>11800</v>
      </c>
      <c r="J91" s="19">
        <f>IF(2026-J$3&gt;IF($D91="",2026,$D91),IF(J$3=12,0.1*$G91,""),IF(2026-J$4&lt;$C91,"",J$4*$G91))</f>
        <v>15340</v>
      </c>
      <c r="K91" s="19">
        <f>IF(2026-K$3&gt;IF($D91="",2026,$D91),IF(K$3=12,0.1*$G91,""),IF(2026-K$4&lt;$C91,"",K$4*$G91))</f>
        <v>20060</v>
      </c>
      <c r="L91" s="19">
        <f>IF(2026-L$3&gt;IF($D91="",2026,$D91),IF(L$3=12,0.1*$G91,""),IF(2026-L$4&lt;$C91,"",L$4*$G91))</f>
        <v>22420</v>
      </c>
      <c r="M91" s="19" t="str">
        <f>IF(2026-M$3&gt;IF($D91="",2026,$D91),IF(M$3=12,0.1*$G91,""),IF(2026-M$4&lt;$C91,"",M$4*$G91))</f>
        <v/>
      </c>
      <c r="N91" s="19" t="str">
        <f>IF(2026-N$3&gt;IF($D91="",2026,$D91),IF(N$3=12,0.1*$G91,""),IF(2026-N$4&lt;$C91,"",N$4*$G91))</f>
        <v/>
      </c>
      <c r="O91" s="19" t="str">
        <f>IF(2026-O$3&gt;IF($D91="",2026,$D91),IF(O$3=12,0.1*$G91,""),IF(2026-O$4&lt;$C91,"",O$4*$G91))</f>
        <v/>
      </c>
      <c r="P91" s="19" t="str">
        <f>IF(2026-P$3&gt;IF($D91="",2026,$D91),IF(P$3=12,0.1*$G91,""),IF(2026-P$4&lt;$C91,"",P$4*$G91))</f>
        <v/>
      </c>
      <c r="Q91" s="19" t="str">
        <f>IF(2026-Q$3&gt;IF($D91="",2026,$D91),IF(Q$3=12,0.1*$G91,""),IF(2026-Q$4&lt;$C91,"",Q$4*$G91))</f>
        <v/>
      </c>
      <c r="R91" s="19" t="str">
        <f>IF(2026-R$3&gt;IF($D91="",2026,$D91),IF(R$3=12,0.1*$G91,""),IF(2026-R$4&lt;$C91,"",R$4*$G91))</f>
        <v/>
      </c>
      <c r="S91" s="19" t="str">
        <f>IF(2026-S$3&gt;IF($D91="",2026,$D91),IF(S$3=12,0.1*$G91,""),IF(2026-S$4&lt;$C91,"",S$4*$G91))</f>
        <v/>
      </c>
      <c r="T91" s="19" t="str">
        <f>IF(2026-T$3&gt;IF($D91="",2026,$D91),IF(T$3=12,0.1*$G91,""),IF(2026-T$4&lt;$C91,"",T$4*$G91))</f>
        <v/>
      </c>
    </row>
    <row r="92" spans="1:20" s="18" customFormat="1" ht="12" customHeight="1" x14ac:dyDescent="0.2">
      <c r="A92" s="17"/>
      <c r="B92" s="16" t="s">
        <v>345</v>
      </c>
      <c r="C92" s="13">
        <v>2011</v>
      </c>
      <c r="D92" s="13">
        <v>2017</v>
      </c>
      <c r="E92" s="13">
        <v>3800</v>
      </c>
      <c r="F92" s="13">
        <v>430</v>
      </c>
      <c r="G92" s="21">
        <v>121800</v>
      </c>
      <c r="H92" s="20"/>
      <c r="I92" s="19">
        <f>IF(2026-I$3&gt;IF($D92="",2026,$D92),IF(I$3=12,0.1*$G92,""),IF(2026-I$4&lt;$C92,"",I$4*$G92))</f>
        <v>12180</v>
      </c>
      <c r="J92" s="19">
        <f>IF(2026-J$3&gt;IF($D92="",2026,$D92),IF(J$3=12,0.1*$G92,""),IF(2026-J$4&lt;$C92,"",J$4*$G92))</f>
        <v>15834</v>
      </c>
      <c r="K92" s="19">
        <f>IF(2026-K$3&gt;IF($D92="",2026,$D92),IF(K$3=12,0.1*$G92,""),IF(2026-K$4&lt;$C92,"",K$4*$G92))</f>
        <v>20706</v>
      </c>
      <c r="L92" s="19">
        <f>IF(2026-L$3&gt;IF($D92="",2026,$D92),IF(L$3=12,0.1*$G92,""),IF(2026-L$4&lt;$C92,"",L$4*$G92))</f>
        <v>23142</v>
      </c>
      <c r="M92" s="19" t="str">
        <f>IF(2026-M$3&gt;IF($D92="",2026,$D92),IF(M$3=12,0.1*$G92,""),IF(2026-M$4&lt;$C92,"",M$4*$G92))</f>
        <v/>
      </c>
      <c r="N92" s="19" t="str">
        <f>IF(2026-N$3&gt;IF($D92="",2026,$D92),IF(N$3=12,0.1*$G92,""),IF(2026-N$4&lt;$C92,"",N$4*$G92))</f>
        <v/>
      </c>
      <c r="O92" s="19" t="str">
        <f>IF(2026-O$3&gt;IF($D92="",2026,$D92),IF(O$3=12,0.1*$G92,""),IF(2026-O$4&lt;$C92,"",O$4*$G92))</f>
        <v/>
      </c>
      <c r="P92" s="19" t="str">
        <f>IF(2026-P$3&gt;IF($D92="",2026,$D92),IF(P$3=12,0.1*$G92,""),IF(2026-P$4&lt;$C92,"",P$4*$G92))</f>
        <v/>
      </c>
      <c r="Q92" s="19" t="str">
        <f>IF(2026-Q$3&gt;IF($D92="",2026,$D92),IF(Q$3=12,0.1*$G92,""),IF(2026-Q$4&lt;$C92,"",Q$4*$G92))</f>
        <v/>
      </c>
      <c r="R92" s="19" t="str">
        <f>IF(2026-R$3&gt;IF($D92="",2026,$D92),IF(R$3=12,0.1*$G92,""),IF(2026-R$4&lt;$C92,"",R$4*$G92))</f>
        <v/>
      </c>
      <c r="S92" s="19" t="str">
        <f>IF(2026-S$3&gt;IF($D92="",2026,$D92),IF(S$3=12,0.1*$G92,""),IF(2026-S$4&lt;$C92,"",S$4*$G92))</f>
        <v/>
      </c>
      <c r="T92" s="19" t="str">
        <f>IF(2026-T$3&gt;IF($D92="",2026,$D92),IF(T$3=12,0.1*$G92,""),IF(2026-T$4&lt;$C92,"",T$4*$G92))</f>
        <v/>
      </c>
    </row>
    <row r="93" spans="1:20" s="18" customFormat="1" ht="12" customHeight="1" x14ac:dyDescent="0.2">
      <c r="A93" s="17"/>
      <c r="B93" s="16" t="s">
        <v>344</v>
      </c>
      <c r="C93" s="13">
        <v>2011</v>
      </c>
      <c r="D93" s="13">
        <v>2017</v>
      </c>
      <c r="E93" s="13">
        <v>3800</v>
      </c>
      <c r="F93" s="13">
        <v>430</v>
      </c>
      <c r="G93" s="21">
        <v>123200</v>
      </c>
      <c r="H93" s="20"/>
      <c r="I93" s="19">
        <f>IF(2026-I$3&gt;IF($D93="",2026,$D93),IF(I$3=12,0.1*$G93,""),IF(2026-I$4&lt;$C93,"",I$4*$G93))</f>
        <v>12320</v>
      </c>
      <c r="J93" s="19">
        <f>IF(2026-J$3&gt;IF($D93="",2026,$D93),IF(J$3=12,0.1*$G93,""),IF(2026-J$4&lt;$C93,"",J$4*$G93))</f>
        <v>16016</v>
      </c>
      <c r="K93" s="19">
        <f>IF(2026-K$3&gt;IF($D93="",2026,$D93),IF(K$3=12,0.1*$G93,""),IF(2026-K$4&lt;$C93,"",K$4*$G93))</f>
        <v>20944</v>
      </c>
      <c r="L93" s="19">
        <f>IF(2026-L$3&gt;IF($D93="",2026,$D93),IF(L$3=12,0.1*$G93,""),IF(2026-L$4&lt;$C93,"",L$4*$G93))</f>
        <v>23408</v>
      </c>
      <c r="M93" s="19" t="str">
        <f>IF(2026-M$3&gt;IF($D93="",2026,$D93),IF(M$3=12,0.1*$G93,""),IF(2026-M$4&lt;$C93,"",M$4*$G93))</f>
        <v/>
      </c>
      <c r="N93" s="19" t="str">
        <f>IF(2026-N$3&gt;IF($D93="",2026,$D93),IF(N$3=12,0.1*$G93,""),IF(2026-N$4&lt;$C93,"",N$4*$G93))</f>
        <v/>
      </c>
      <c r="O93" s="19" t="str">
        <f>IF(2026-O$3&gt;IF($D93="",2026,$D93),IF(O$3=12,0.1*$G93,""),IF(2026-O$4&lt;$C93,"",O$4*$G93))</f>
        <v/>
      </c>
      <c r="P93" s="19" t="str">
        <f>IF(2026-P$3&gt;IF($D93="",2026,$D93),IF(P$3=12,0.1*$G93,""),IF(2026-P$4&lt;$C93,"",P$4*$G93))</f>
        <v/>
      </c>
      <c r="Q93" s="19" t="str">
        <f>IF(2026-Q$3&gt;IF($D93="",2026,$D93),IF(Q$3=12,0.1*$G93,""),IF(2026-Q$4&lt;$C93,"",Q$4*$G93))</f>
        <v/>
      </c>
      <c r="R93" s="19" t="str">
        <f>IF(2026-R$3&gt;IF($D93="",2026,$D93),IF(R$3=12,0.1*$G93,""),IF(2026-R$4&lt;$C93,"",R$4*$G93))</f>
        <v/>
      </c>
      <c r="S93" s="19" t="str">
        <f>IF(2026-S$3&gt;IF($D93="",2026,$D93),IF(S$3=12,0.1*$G93,""),IF(2026-S$4&lt;$C93,"",S$4*$G93))</f>
        <v/>
      </c>
      <c r="T93" s="19" t="str">
        <f>IF(2026-T$3&gt;IF($D93="",2026,$D93),IF(T$3=12,0.1*$G93,""),IF(2026-T$4&lt;$C93,"",T$4*$G93))</f>
        <v/>
      </c>
    </row>
    <row r="94" spans="1:20" s="18" customFormat="1" ht="12" customHeight="1" x14ac:dyDescent="0.2">
      <c r="A94" s="17"/>
      <c r="B94" s="16" t="s">
        <v>343</v>
      </c>
      <c r="C94" s="13">
        <v>2011</v>
      </c>
      <c r="D94" s="13">
        <v>2017</v>
      </c>
      <c r="E94" s="13">
        <v>3800</v>
      </c>
      <c r="F94" s="13">
        <v>430</v>
      </c>
      <c r="G94" s="21">
        <v>127100</v>
      </c>
      <c r="H94" s="22" t="str">
        <f>IF(B94&gt;2014,"",F94*$I$4)</f>
        <v/>
      </c>
      <c r="I94" s="19">
        <f>IF(2026-I$3&gt;IF($D94="",2026,$D94),IF(I$3=12,0.1*$G94,""),IF(2026-I$4&lt;$C94,"",I$4*$G94))</f>
        <v>12710</v>
      </c>
      <c r="J94" s="19">
        <f>IF(2026-J$3&gt;IF($D94="",2026,$D94),IF(J$3=12,0.1*$G94,""),IF(2026-J$4&lt;$C94,"",J$4*$G94))</f>
        <v>16523</v>
      </c>
      <c r="K94" s="19">
        <f>IF(2026-K$3&gt;IF($D94="",2026,$D94),IF(K$3=12,0.1*$G94,""),IF(2026-K$4&lt;$C94,"",K$4*$G94))</f>
        <v>21607</v>
      </c>
      <c r="L94" s="19">
        <f>IF(2026-L$3&gt;IF($D94="",2026,$D94),IF(L$3=12,0.1*$G94,""),IF(2026-L$4&lt;$C94,"",L$4*$G94))</f>
        <v>24149</v>
      </c>
      <c r="M94" s="19" t="str">
        <f>IF(2026-M$3&gt;IF($D94="",2026,$D94),IF(M$3=12,0.1*$G94,""),IF(2026-M$4&lt;$C94,"",M$4*$G94))</f>
        <v/>
      </c>
      <c r="N94" s="19" t="str">
        <f>IF(2026-N$3&gt;IF($D94="",2026,$D94),IF(N$3=12,0.1*$G94,""),IF(2026-N$4&lt;$C94,"",N$4*$G94))</f>
        <v/>
      </c>
      <c r="O94" s="19" t="str">
        <f>IF(2026-O$3&gt;IF($D94="",2026,$D94),IF(O$3=12,0.1*$G94,""),IF(2026-O$4&lt;$C94,"",O$4*$G94))</f>
        <v/>
      </c>
      <c r="P94" s="19" t="str">
        <f>IF(2026-P$3&gt;IF($D94="",2026,$D94),IF(P$3=12,0.1*$G94,""),IF(2026-P$4&lt;$C94,"",P$4*$G94))</f>
        <v/>
      </c>
      <c r="Q94" s="19" t="str">
        <f>IF(2026-Q$3&gt;IF($D94="",2026,$D94),IF(Q$3=12,0.1*$G94,""),IF(2026-Q$4&lt;$C94,"",Q$4*$G94))</f>
        <v/>
      </c>
      <c r="R94" s="19" t="str">
        <f>IF(2026-R$3&gt;IF($D94="",2026,$D94),IF(R$3=12,0.1*$G94,""),IF(2026-R$4&lt;$C94,"",R$4*$G94))</f>
        <v/>
      </c>
      <c r="S94" s="19" t="str">
        <f>IF(2026-S$3&gt;IF($D94="",2026,$D94),IF(S$3=12,0.1*$G94,""),IF(2026-S$4&lt;$C94,"",S$4*$G94))</f>
        <v/>
      </c>
      <c r="T94" s="19" t="str">
        <f>IF(2026-T$3&gt;IF($D94="",2026,$D94),IF(T$3=12,0.1*$G94,""),IF(2026-T$4&lt;$C94,"",T$4*$G94))</f>
        <v/>
      </c>
    </row>
    <row r="95" spans="1:20" s="18" customFormat="1" ht="12" customHeight="1" x14ac:dyDescent="0.2">
      <c r="A95" s="17"/>
      <c r="B95" s="16" t="s">
        <v>342</v>
      </c>
      <c r="C95" s="13">
        <v>2011</v>
      </c>
      <c r="D95" s="13">
        <v>2017</v>
      </c>
      <c r="E95" s="13">
        <v>3800</v>
      </c>
      <c r="F95" s="13">
        <v>430</v>
      </c>
      <c r="G95" s="21">
        <v>111200</v>
      </c>
      <c r="H95" s="22" t="str">
        <f>IF(B95&gt;2014,"",F95*$I$4)</f>
        <v/>
      </c>
      <c r="I95" s="19">
        <f>IF(2026-I$3&gt;IF($D95="",2026,$D95),IF(I$3=12,0.1*$G95,""),IF(2026-I$4&lt;$C95,"",I$4*$G95))</f>
        <v>11120</v>
      </c>
      <c r="J95" s="19">
        <f>IF(2026-J$3&gt;IF($D95="",2026,$D95),IF(J$3=12,0.1*$G95,""),IF(2026-J$4&lt;$C95,"",J$4*$G95))</f>
        <v>14456</v>
      </c>
      <c r="K95" s="19">
        <f>IF(2026-K$3&gt;IF($D95="",2026,$D95),IF(K$3=12,0.1*$G95,""),IF(2026-K$4&lt;$C95,"",K$4*$G95))</f>
        <v>18904</v>
      </c>
      <c r="L95" s="19">
        <f>IF(2026-L$3&gt;IF($D95="",2026,$D95),IF(L$3=12,0.1*$G95,""),IF(2026-L$4&lt;$C95,"",L$4*$G95))</f>
        <v>21128</v>
      </c>
      <c r="M95" s="19" t="str">
        <f>IF(2026-M$3&gt;IF($D95="",2026,$D95),IF(M$3=12,0.1*$G95,""),IF(2026-M$4&lt;$C95,"",M$4*$G95))</f>
        <v/>
      </c>
      <c r="N95" s="19" t="str">
        <f>IF(2026-N$3&gt;IF($D95="",2026,$D95),IF(N$3=12,0.1*$G95,""),IF(2026-N$4&lt;$C95,"",N$4*$G95))</f>
        <v/>
      </c>
      <c r="O95" s="19" t="str">
        <f>IF(2026-O$3&gt;IF($D95="",2026,$D95),IF(O$3=12,0.1*$G95,""),IF(2026-O$4&lt;$C95,"",O$4*$G95))</f>
        <v/>
      </c>
      <c r="P95" s="19" t="str">
        <f>IF(2026-P$3&gt;IF($D95="",2026,$D95),IF(P$3=12,0.1*$G95,""),IF(2026-P$4&lt;$C95,"",P$4*$G95))</f>
        <v/>
      </c>
      <c r="Q95" s="19" t="str">
        <f>IF(2026-Q$3&gt;IF($D95="",2026,$D95),IF(Q$3=12,0.1*$G95,""),IF(2026-Q$4&lt;$C95,"",Q$4*$G95))</f>
        <v/>
      </c>
      <c r="R95" s="19" t="str">
        <f>IF(2026-R$3&gt;IF($D95="",2026,$D95),IF(R$3=12,0.1*$G95,""),IF(2026-R$4&lt;$C95,"",R$4*$G95))</f>
        <v/>
      </c>
      <c r="S95" s="19" t="str">
        <f>IF(2026-S$3&gt;IF($D95="",2026,$D95),IF(S$3=12,0.1*$G95,""),IF(2026-S$4&lt;$C95,"",S$4*$G95))</f>
        <v/>
      </c>
      <c r="T95" s="19" t="str">
        <f>IF(2026-T$3&gt;IF($D95="",2026,$D95),IF(T$3=12,0.1*$G95,""),IF(2026-T$4&lt;$C95,"",T$4*$G95))</f>
        <v/>
      </c>
    </row>
    <row r="96" spans="1:20" s="18" customFormat="1" ht="12" customHeight="1" x14ac:dyDescent="0.2">
      <c r="A96" s="17"/>
      <c r="B96" s="16" t="s">
        <v>341</v>
      </c>
      <c r="C96" s="13">
        <v>2011</v>
      </c>
      <c r="D96" s="13">
        <v>2017</v>
      </c>
      <c r="E96" s="13">
        <v>3800</v>
      </c>
      <c r="F96" s="13">
        <v>430</v>
      </c>
      <c r="G96" s="21">
        <v>115200</v>
      </c>
      <c r="H96" s="22" t="str">
        <f>IF(B96&gt;2014,"",F96*$I$4)</f>
        <v/>
      </c>
      <c r="I96" s="19">
        <f>IF(2026-I$3&gt;IF($D96="",2026,$D96),IF(I$3=12,0.1*$G96,""),IF(2026-I$4&lt;$C96,"",I$4*$G96))</f>
        <v>11520</v>
      </c>
      <c r="J96" s="19">
        <f>IF(2026-J$3&gt;IF($D96="",2026,$D96),IF(J$3=12,0.1*$G96,""),IF(2026-J$4&lt;$C96,"",J$4*$G96))</f>
        <v>14976</v>
      </c>
      <c r="K96" s="19">
        <f>IF(2026-K$3&gt;IF($D96="",2026,$D96),IF(K$3=12,0.1*$G96,""),IF(2026-K$4&lt;$C96,"",K$4*$G96))</f>
        <v>19584</v>
      </c>
      <c r="L96" s="19">
        <f>IF(2026-L$3&gt;IF($D96="",2026,$D96),IF(L$3=12,0.1*$G96,""),IF(2026-L$4&lt;$C96,"",L$4*$G96))</f>
        <v>21888</v>
      </c>
      <c r="M96" s="19" t="str">
        <f>IF(2026-M$3&gt;IF($D96="",2026,$D96),IF(M$3=12,0.1*$G96,""),IF(2026-M$4&lt;$C96,"",M$4*$G96))</f>
        <v/>
      </c>
      <c r="N96" s="19" t="str">
        <f>IF(2026-N$3&gt;IF($D96="",2026,$D96),IF(N$3=12,0.1*$G96,""),IF(2026-N$4&lt;$C96,"",N$4*$G96))</f>
        <v/>
      </c>
      <c r="O96" s="19" t="str">
        <f>IF(2026-O$3&gt;IF($D96="",2026,$D96),IF(O$3=12,0.1*$G96,""),IF(2026-O$4&lt;$C96,"",O$4*$G96))</f>
        <v/>
      </c>
      <c r="P96" s="19" t="str">
        <f>IF(2026-P$3&gt;IF($D96="",2026,$D96),IF(P$3=12,0.1*$G96,""),IF(2026-P$4&lt;$C96,"",P$4*$G96))</f>
        <v/>
      </c>
      <c r="Q96" s="19" t="str">
        <f>IF(2026-Q$3&gt;IF($D96="",2026,$D96),IF(Q$3=12,0.1*$G96,""),IF(2026-Q$4&lt;$C96,"",Q$4*$G96))</f>
        <v/>
      </c>
      <c r="R96" s="19" t="str">
        <f>IF(2026-R$3&gt;IF($D96="",2026,$D96),IF(R$3=12,0.1*$G96,""),IF(2026-R$4&lt;$C96,"",R$4*$G96))</f>
        <v/>
      </c>
      <c r="S96" s="19" t="str">
        <f>IF(2026-S$3&gt;IF($D96="",2026,$D96),IF(S$3=12,0.1*$G96,""),IF(2026-S$4&lt;$C96,"",S$4*$G96))</f>
        <v/>
      </c>
      <c r="T96" s="19" t="str">
        <f>IF(2026-T$3&gt;IF($D96="",2026,$D96),IF(T$3=12,0.1*$G96,""),IF(2026-T$4&lt;$C96,"",T$4*$G96))</f>
        <v/>
      </c>
    </row>
    <row r="97" spans="1:20" s="18" customFormat="1" ht="12" customHeight="1" x14ac:dyDescent="0.2">
      <c r="A97" s="17"/>
      <c r="B97" s="16" t="s">
        <v>340</v>
      </c>
      <c r="C97" s="13">
        <v>2011</v>
      </c>
      <c r="D97" s="13">
        <v>2017</v>
      </c>
      <c r="E97" s="13">
        <v>3799</v>
      </c>
      <c r="F97" s="13">
        <v>475</v>
      </c>
      <c r="G97" s="21">
        <v>129800</v>
      </c>
      <c r="H97" s="22" t="str">
        <f>IF(B97&gt;2014,"",F97*$I$4)</f>
        <v/>
      </c>
      <c r="I97" s="19">
        <f>IF(2026-I$3&gt;IF($D97="",2026,$D97),IF(I$3=12,0.1*$G97,""),IF(2026-I$4&lt;$C97,"",I$4*$G97))</f>
        <v>12980</v>
      </c>
      <c r="J97" s="19">
        <f>IF(2026-J$3&gt;IF($D97="",2026,$D97),IF(J$3=12,0.1*$G97,""),IF(2026-J$4&lt;$C97,"",J$4*$G97))</f>
        <v>16874</v>
      </c>
      <c r="K97" s="19">
        <f>IF(2026-K$3&gt;IF($D97="",2026,$D97),IF(K$3=12,0.1*$G97,""),IF(2026-K$4&lt;$C97,"",K$4*$G97))</f>
        <v>22066</v>
      </c>
      <c r="L97" s="19">
        <f>IF(2026-L$3&gt;IF($D97="",2026,$D97),IF(L$3=12,0.1*$G97,""),IF(2026-L$4&lt;$C97,"",L$4*$G97))</f>
        <v>24662</v>
      </c>
      <c r="M97" s="19" t="str">
        <f>IF(2026-M$3&gt;IF($D97="",2026,$D97),IF(M$3=12,0.1*$G97,""),IF(2026-M$4&lt;$C97,"",M$4*$G97))</f>
        <v/>
      </c>
      <c r="N97" s="19" t="str">
        <f>IF(2026-N$3&gt;IF($D97="",2026,$D97),IF(N$3=12,0.1*$G97,""),IF(2026-N$4&lt;$C97,"",N$4*$G97))</f>
        <v/>
      </c>
      <c r="O97" s="19" t="str">
        <f>IF(2026-O$3&gt;IF($D97="",2026,$D97),IF(O$3=12,0.1*$G97,""),IF(2026-O$4&lt;$C97,"",O$4*$G97))</f>
        <v/>
      </c>
      <c r="P97" s="19" t="str">
        <f>IF(2026-P$3&gt;IF($D97="",2026,$D97),IF(P$3=12,0.1*$G97,""),IF(2026-P$4&lt;$C97,"",P$4*$G97))</f>
        <v/>
      </c>
      <c r="Q97" s="19" t="str">
        <f>IF(2026-Q$3&gt;IF($D97="",2026,$D97),IF(Q$3=12,0.1*$G97,""),IF(2026-Q$4&lt;$C97,"",Q$4*$G97))</f>
        <v/>
      </c>
      <c r="R97" s="19" t="str">
        <f>IF(2026-R$3&gt;IF($D97="",2026,$D97),IF(R$3=12,0.1*$G97,""),IF(2026-R$4&lt;$C97,"",R$4*$G97))</f>
        <v/>
      </c>
      <c r="S97" s="19" t="str">
        <f>IF(2026-S$3&gt;IF($D97="",2026,$D97),IF(S$3=12,0.1*$G97,""),IF(2026-S$4&lt;$C97,"",S$4*$G97))</f>
        <v/>
      </c>
      <c r="T97" s="19" t="str">
        <f>IF(2026-T$3&gt;IF($D97="",2026,$D97),IF(T$3=12,0.1*$G97,""),IF(2026-T$4&lt;$C97,"",T$4*$G97))</f>
        <v/>
      </c>
    </row>
    <row r="98" spans="1:20" s="18" customFormat="1" ht="12" customHeight="1" x14ac:dyDescent="0.2">
      <c r="A98" s="17"/>
      <c r="B98" s="16" t="s">
        <v>339</v>
      </c>
      <c r="C98" s="13">
        <v>2011</v>
      </c>
      <c r="D98" s="13">
        <v>2017</v>
      </c>
      <c r="E98" s="13">
        <v>3996</v>
      </c>
      <c r="F98" s="13">
        <v>500</v>
      </c>
      <c r="G98" s="21">
        <v>171400</v>
      </c>
      <c r="H98" s="22" t="str">
        <f>IF(B98&gt;2014,"",F98*$I$4)</f>
        <v/>
      </c>
      <c r="I98" s="19">
        <f>IF(2026-I$3&gt;IF($D98="",2026,$D98),IF(I$3=12,0.1*$G98,""),IF(2026-I$4&lt;$C98,"",I$4*$G98))</f>
        <v>17140</v>
      </c>
      <c r="J98" s="19">
        <f>IF(2026-J$3&gt;IF($D98="",2026,$D98),IF(J$3=12,0.1*$G98,""),IF(2026-J$4&lt;$C98,"",J$4*$G98))</f>
        <v>22282</v>
      </c>
      <c r="K98" s="19">
        <f>IF(2026-K$3&gt;IF($D98="",2026,$D98),IF(K$3=12,0.1*$G98,""),IF(2026-K$4&lt;$C98,"",K$4*$G98))</f>
        <v>29138.000000000004</v>
      </c>
      <c r="L98" s="19">
        <f>IF(2026-L$3&gt;IF($D98="",2026,$D98),IF(L$3=12,0.1*$G98,""),IF(2026-L$4&lt;$C98,"",L$4*$G98))</f>
        <v>32566</v>
      </c>
      <c r="M98" s="19" t="str">
        <f>IF(2026-M$3&gt;IF($D98="",2026,$D98),IF(M$3=12,0.1*$G98,""),IF(2026-M$4&lt;$C98,"",M$4*$G98))</f>
        <v/>
      </c>
      <c r="N98" s="19" t="str">
        <f>IF(2026-N$3&gt;IF($D98="",2026,$D98),IF(N$3=12,0.1*$G98,""),IF(2026-N$4&lt;$C98,"",N$4*$G98))</f>
        <v/>
      </c>
      <c r="O98" s="19" t="str">
        <f>IF(2026-O$3&gt;IF($D98="",2026,$D98),IF(O$3=12,0.1*$G98,""),IF(2026-O$4&lt;$C98,"",O$4*$G98))</f>
        <v/>
      </c>
      <c r="P98" s="19" t="str">
        <f>IF(2026-P$3&gt;IF($D98="",2026,$D98),IF(P$3=12,0.1*$G98,""),IF(2026-P$4&lt;$C98,"",P$4*$G98))</f>
        <v/>
      </c>
      <c r="Q98" s="19" t="str">
        <f>IF(2026-Q$3&gt;IF($D98="",2026,$D98),IF(Q$3=12,0.1*$G98,""),IF(2026-Q$4&lt;$C98,"",Q$4*$G98))</f>
        <v/>
      </c>
      <c r="R98" s="19" t="str">
        <f>IF(2026-R$3&gt;IF($D98="",2026,$D98),IF(R$3=12,0.1*$G98,""),IF(2026-R$4&lt;$C98,"",R$4*$G98))</f>
        <v/>
      </c>
      <c r="S98" s="19" t="str">
        <f>IF(2026-S$3&gt;IF($D98="",2026,$D98),IF(S$3=12,0.1*$G98,""),IF(2026-S$4&lt;$C98,"",S$4*$G98))</f>
        <v/>
      </c>
      <c r="T98" s="19" t="str">
        <f>IF(2026-T$3&gt;IF($D98="",2026,$D98),IF(T$3=12,0.1*$G98,""),IF(2026-T$4&lt;$C98,"",T$4*$G98))</f>
        <v/>
      </c>
    </row>
    <row r="99" spans="1:20" s="18" customFormat="1" ht="12" customHeight="1" x14ac:dyDescent="0.2">
      <c r="A99" s="17"/>
      <c r="B99" s="16" t="s">
        <v>338</v>
      </c>
      <c r="C99" s="13">
        <v>2011</v>
      </c>
      <c r="D99" s="13">
        <v>2017</v>
      </c>
      <c r="E99" s="13">
        <v>3800</v>
      </c>
      <c r="F99" s="13">
        <v>520</v>
      </c>
      <c r="G99" s="21">
        <v>164600</v>
      </c>
      <c r="H99" s="22" t="str">
        <f>IF(B99&gt;2014,"",F99*$I$4)</f>
        <v/>
      </c>
      <c r="I99" s="19">
        <f>IF(2026-I$3&gt;IF($D99="",2026,$D99),IF(I$3=12,0.1*$G99,""),IF(2026-I$4&lt;$C99,"",I$4*$G99))</f>
        <v>16460</v>
      </c>
      <c r="J99" s="19">
        <f>IF(2026-J$3&gt;IF($D99="",2026,$D99),IF(J$3=12,0.1*$G99,""),IF(2026-J$4&lt;$C99,"",J$4*$G99))</f>
        <v>21398</v>
      </c>
      <c r="K99" s="19">
        <f>IF(2026-K$3&gt;IF($D99="",2026,$D99),IF(K$3=12,0.1*$G99,""),IF(2026-K$4&lt;$C99,"",K$4*$G99))</f>
        <v>27982.000000000004</v>
      </c>
      <c r="L99" s="19">
        <f>IF(2026-L$3&gt;IF($D99="",2026,$D99),IF(L$3=12,0.1*$G99,""),IF(2026-L$4&lt;$C99,"",L$4*$G99))</f>
        <v>31274</v>
      </c>
      <c r="M99" s="19" t="str">
        <f>IF(2026-M$3&gt;IF($D99="",2026,$D99),IF(M$3=12,0.1*$G99,""),IF(2026-M$4&lt;$C99,"",M$4*$G99))</f>
        <v/>
      </c>
      <c r="N99" s="19" t="str">
        <f>IF(2026-N$3&gt;IF($D99="",2026,$D99),IF(N$3=12,0.1*$G99,""),IF(2026-N$4&lt;$C99,"",N$4*$G99))</f>
        <v/>
      </c>
      <c r="O99" s="19" t="str">
        <f>IF(2026-O$3&gt;IF($D99="",2026,$D99),IF(O$3=12,0.1*$G99,""),IF(2026-O$4&lt;$C99,"",O$4*$G99))</f>
        <v/>
      </c>
      <c r="P99" s="19" t="str">
        <f>IF(2026-P$3&gt;IF($D99="",2026,$D99),IF(P$3=12,0.1*$G99,""),IF(2026-P$4&lt;$C99,"",P$4*$G99))</f>
        <v/>
      </c>
      <c r="Q99" s="19" t="str">
        <f>IF(2026-Q$3&gt;IF($D99="",2026,$D99),IF(Q$3=12,0.1*$G99,""),IF(2026-Q$4&lt;$C99,"",Q$4*$G99))</f>
        <v/>
      </c>
      <c r="R99" s="19" t="str">
        <f>IF(2026-R$3&gt;IF($D99="",2026,$D99),IF(R$3=12,0.1*$G99,""),IF(2026-R$4&lt;$C99,"",R$4*$G99))</f>
        <v/>
      </c>
      <c r="S99" s="19" t="str">
        <f>IF(2026-S$3&gt;IF($D99="",2026,$D99),IF(S$3=12,0.1*$G99,""),IF(2026-S$4&lt;$C99,"",S$4*$G99))</f>
        <v/>
      </c>
      <c r="T99" s="19" t="str">
        <f>IF(2026-T$3&gt;IF($D99="",2026,$D99),IF(T$3=12,0.1*$G99,""),IF(2026-T$4&lt;$C99,"",T$4*$G99))</f>
        <v/>
      </c>
    </row>
    <row r="100" spans="1:20" s="18" customFormat="1" ht="12" customHeight="1" x14ac:dyDescent="0.2">
      <c r="A100" s="17"/>
      <c r="B100" s="16" t="s">
        <v>337</v>
      </c>
      <c r="C100" s="13">
        <v>2011</v>
      </c>
      <c r="D100" s="13">
        <v>2017</v>
      </c>
      <c r="E100" s="13">
        <v>3800</v>
      </c>
      <c r="F100" s="13">
        <v>520</v>
      </c>
      <c r="G100" s="21">
        <v>153000</v>
      </c>
      <c r="H100" s="22" t="str">
        <f>IF(B100&gt;2014,"",F100*$I$4)</f>
        <v/>
      </c>
      <c r="I100" s="19">
        <f>IF(2026-I$3&gt;IF($D100="",2026,$D100),IF(I$3=12,0.1*$G100,""),IF(2026-I$4&lt;$C100,"",I$4*$G100))</f>
        <v>15300</v>
      </c>
      <c r="J100" s="19">
        <f>IF(2026-J$3&gt;IF($D100="",2026,$D100),IF(J$3=12,0.1*$G100,""),IF(2026-J$4&lt;$C100,"",J$4*$G100))</f>
        <v>19890</v>
      </c>
      <c r="K100" s="19">
        <f>IF(2026-K$3&gt;IF($D100="",2026,$D100),IF(K$3=12,0.1*$G100,""),IF(2026-K$4&lt;$C100,"",K$4*$G100))</f>
        <v>26010.000000000004</v>
      </c>
      <c r="L100" s="19">
        <f>IF(2026-L$3&gt;IF($D100="",2026,$D100),IF(L$3=12,0.1*$G100,""),IF(2026-L$4&lt;$C100,"",L$4*$G100))</f>
        <v>29070</v>
      </c>
      <c r="M100" s="19" t="str">
        <f>IF(2026-M$3&gt;IF($D100="",2026,$D100),IF(M$3=12,0.1*$G100,""),IF(2026-M$4&lt;$C100,"",M$4*$G100))</f>
        <v/>
      </c>
      <c r="N100" s="19" t="str">
        <f>IF(2026-N$3&gt;IF($D100="",2026,$D100),IF(N$3=12,0.1*$G100,""),IF(2026-N$4&lt;$C100,"",N$4*$G100))</f>
        <v/>
      </c>
      <c r="O100" s="19" t="str">
        <f>IF(2026-O$3&gt;IF($D100="",2026,$D100),IF(O$3=12,0.1*$G100,""),IF(2026-O$4&lt;$C100,"",O$4*$G100))</f>
        <v/>
      </c>
      <c r="P100" s="19" t="str">
        <f>IF(2026-P$3&gt;IF($D100="",2026,$D100),IF(P$3=12,0.1*$G100,""),IF(2026-P$4&lt;$C100,"",P$4*$G100))</f>
        <v/>
      </c>
      <c r="Q100" s="19" t="str">
        <f>IF(2026-Q$3&gt;IF($D100="",2026,$D100),IF(Q$3=12,0.1*$G100,""),IF(2026-Q$4&lt;$C100,"",Q$4*$G100))</f>
        <v/>
      </c>
      <c r="R100" s="19" t="str">
        <f>IF(2026-R$3&gt;IF($D100="",2026,$D100),IF(R$3=12,0.1*$G100,""),IF(2026-R$4&lt;$C100,"",R$4*$G100))</f>
        <v/>
      </c>
      <c r="S100" s="19" t="str">
        <f>IF(2026-S$3&gt;IF($D100="",2026,$D100),IF(S$3=12,0.1*$G100,""),IF(2026-S$4&lt;$C100,"",S$4*$G100))</f>
        <v/>
      </c>
      <c r="T100" s="19" t="str">
        <f>IF(2026-T$3&gt;IF($D100="",2026,$D100),IF(T$3=12,0.1*$G100,""),IF(2026-T$4&lt;$C100,"",T$4*$G100))</f>
        <v/>
      </c>
    </row>
    <row r="101" spans="1:20" s="18" customFormat="1" ht="12" customHeight="1" x14ac:dyDescent="0.2">
      <c r="A101" s="17"/>
      <c r="B101" s="16" t="s">
        <v>336</v>
      </c>
      <c r="C101" s="13">
        <v>2011</v>
      </c>
      <c r="D101" s="13">
        <v>2017</v>
      </c>
      <c r="E101" s="13">
        <v>3800</v>
      </c>
      <c r="F101" s="13">
        <v>560</v>
      </c>
      <c r="G101" s="21">
        <v>196100</v>
      </c>
      <c r="H101" s="22" t="str">
        <f>IF(B101&gt;2014,"",F101*$I$4)</f>
        <v/>
      </c>
      <c r="I101" s="19">
        <f>IF(2026-I$3&gt;IF($D101="",2026,$D101),IF(I$3=12,0.1*$G101,""),IF(2026-I$4&lt;$C101,"",I$4*$G101))</f>
        <v>19610</v>
      </c>
      <c r="J101" s="19">
        <f>IF(2026-J$3&gt;IF($D101="",2026,$D101),IF(J$3=12,0.1*$G101,""),IF(2026-J$4&lt;$C101,"",J$4*$G101))</f>
        <v>25493</v>
      </c>
      <c r="K101" s="19">
        <f>IF(2026-K$3&gt;IF($D101="",2026,$D101),IF(K$3=12,0.1*$G101,""),IF(2026-K$4&lt;$C101,"",K$4*$G101))</f>
        <v>33337</v>
      </c>
      <c r="L101" s="19">
        <f>IF(2026-L$3&gt;IF($D101="",2026,$D101),IF(L$3=12,0.1*$G101,""),IF(2026-L$4&lt;$C101,"",L$4*$G101))</f>
        <v>37259</v>
      </c>
      <c r="M101" s="19" t="str">
        <f>IF(2026-M$3&gt;IF($D101="",2026,$D101),IF(M$3=12,0.1*$G101,""),IF(2026-M$4&lt;$C101,"",M$4*$G101))</f>
        <v/>
      </c>
      <c r="N101" s="19" t="str">
        <f>IF(2026-N$3&gt;IF($D101="",2026,$D101),IF(N$3=12,0.1*$G101,""),IF(2026-N$4&lt;$C101,"",N$4*$G101))</f>
        <v/>
      </c>
      <c r="O101" s="19" t="str">
        <f>IF(2026-O$3&gt;IF($D101="",2026,$D101),IF(O$3=12,0.1*$G101,""),IF(2026-O$4&lt;$C101,"",O$4*$G101))</f>
        <v/>
      </c>
      <c r="P101" s="19" t="str">
        <f>IF(2026-P$3&gt;IF($D101="",2026,$D101),IF(P$3=12,0.1*$G101,""),IF(2026-P$4&lt;$C101,"",P$4*$G101))</f>
        <v/>
      </c>
      <c r="Q101" s="19" t="str">
        <f>IF(2026-Q$3&gt;IF($D101="",2026,$D101),IF(Q$3=12,0.1*$G101,""),IF(2026-Q$4&lt;$C101,"",Q$4*$G101))</f>
        <v/>
      </c>
      <c r="R101" s="19" t="str">
        <f>IF(2026-R$3&gt;IF($D101="",2026,$D101),IF(R$3=12,0.1*$G101,""),IF(2026-R$4&lt;$C101,"",R$4*$G101))</f>
        <v/>
      </c>
      <c r="S101" s="19" t="str">
        <f>IF(2026-S$3&gt;IF($D101="",2026,$D101),IF(S$3=12,0.1*$G101,""),IF(2026-S$4&lt;$C101,"",S$4*$G101))</f>
        <v/>
      </c>
      <c r="T101" s="19" t="str">
        <f>IF(2026-T$3&gt;IF($D101="",2026,$D101),IF(T$3=12,0.1*$G101,""),IF(2026-T$4&lt;$C101,"",T$4*$G101))</f>
        <v/>
      </c>
    </row>
    <row r="102" spans="1:20" s="18" customFormat="1" ht="12" customHeight="1" x14ac:dyDescent="0.2">
      <c r="A102" s="17"/>
      <c r="B102" s="16" t="s">
        <v>335</v>
      </c>
      <c r="C102" s="13">
        <v>2011</v>
      </c>
      <c r="D102" s="13">
        <v>2017</v>
      </c>
      <c r="E102" s="13">
        <v>3800</v>
      </c>
      <c r="F102" s="13">
        <v>560</v>
      </c>
      <c r="G102" s="21">
        <v>184200</v>
      </c>
      <c r="H102" s="22" t="str">
        <f>IF(B102&gt;2014,"",F102*$I$4)</f>
        <v/>
      </c>
      <c r="I102" s="19">
        <f>IF(2026-I$3&gt;IF($D102="",2026,$D102),IF(I$3=12,0.1*$G102,""),IF(2026-I$4&lt;$C102,"",I$4*$G102))</f>
        <v>18420</v>
      </c>
      <c r="J102" s="19">
        <f>IF(2026-J$3&gt;IF($D102="",2026,$D102),IF(J$3=12,0.1*$G102,""),IF(2026-J$4&lt;$C102,"",J$4*$G102))</f>
        <v>23946</v>
      </c>
      <c r="K102" s="19">
        <f>IF(2026-K$3&gt;IF($D102="",2026,$D102),IF(K$3=12,0.1*$G102,""),IF(2026-K$4&lt;$C102,"",K$4*$G102))</f>
        <v>31314.000000000004</v>
      </c>
      <c r="L102" s="19">
        <f>IF(2026-L$3&gt;IF($D102="",2026,$D102),IF(L$3=12,0.1*$G102,""),IF(2026-L$4&lt;$C102,"",L$4*$G102))</f>
        <v>34998</v>
      </c>
      <c r="M102" s="19" t="str">
        <f>IF(2026-M$3&gt;IF($D102="",2026,$D102),IF(M$3=12,0.1*$G102,""),IF(2026-M$4&lt;$C102,"",M$4*$G102))</f>
        <v/>
      </c>
      <c r="N102" s="19" t="str">
        <f>IF(2026-N$3&gt;IF($D102="",2026,$D102),IF(N$3=12,0.1*$G102,""),IF(2026-N$4&lt;$C102,"",N$4*$G102))</f>
        <v/>
      </c>
      <c r="O102" s="19" t="str">
        <f>IF(2026-O$3&gt;IF($D102="",2026,$D102),IF(O$3=12,0.1*$G102,""),IF(2026-O$4&lt;$C102,"",O$4*$G102))</f>
        <v/>
      </c>
      <c r="P102" s="19" t="str">
        <f>IF(2026-P$3&gt;IF($D102="",2026,$D102),IF(P$3=12,0.1*$G102,""),IF(2026-P$4&lt;$C102,"",P$4*$G102))</f>
        <v/>
      </c>
      <c r="Q102" s="19" t="str">
        <f>IF(2026-Q$3&gt;IF($D102="",2026,$D102),IF(Q$3=12,0.1*$G102,""),IF(2026-Q$4&lt;$C102,"",Q$4*$G102))</f>
        <v/>
      </c>
      <c r="R102" s="19" t="str">
        <f>IF(2026-R$3&gt;IF($D102="",2026,$D102),IF(R$3=12,0.1*$G102,""),IF(2026-R$4&lt;$C102,"",R$4*$G102))</f>
        <v/>
      </c>
      <c r="S102" s="19" t="str">
        <f>IF(2026-S$3&gt;IF($D102="",2026,$D102),IF(S$3=12,0.1*$G102,""),IF(2026-S$4&lt;$C102,"",S$4*$G102))</f>
        <v/>
      </c>
      <c r="T102" s="19" t="str">
        <f>IF(2026-T$3&gt;IF($D102="",2026,$D102),IF(T$3=12,0.1*$G102,""),IF(2026-T$4&lt;$C102,"",T$4*$G102))</f>
        <v/>
      </c>
    </row>
    <row r="103" spans="1:20" s="18" customFormat="1" ht="12" customHeight="1" x14ac:dyDescent="0.2">
      <c r="A103" s="17"/>
      <c r="B103" s="16" t="s">
        <v>334</v>
      </c>
      <c r="C103" s="13">
        <v>2014</v>
      </c>
      <c r="D103" s="13">
        <v>2017</v>
      </c>
      <c r="E103" s="13">
        <v>3436</v>
      </c>
      <c r="F103" s="13">
        <v>350</v>
      </c>
      <c r="G103" s="21">
        <v>104100</v>
      </c>
      <c r="H103" s="22" t="str">
        <f>IF(B103&gt;2014,"",F103*$I$4)</f>
        <v/>
      </c>
      <c r="I103" s="19">
        <f>IF(2026-I$3&gt;IF($D103="",2026,$D103),IF(I$3=12,0.1*$G103,""),IF(2026-I$4&lt;$C103,"",I$4*$G103))</f>
        <v>10410</v>
      </c>
      <c r="J103" s="19">
        <f>IF(2026-J$3&gt;IF($D103="",2026,$D103),IF(J$3=12,0.1*$G103,""),IF(2026-J$4&lt;$C103,"",J$4*$G103))</f>
        <v>13533</v>
      </c>
      <c r="K103" s="19">
        <f>IF(2026-K$3&gt;IF($D103="",2026,$D103),IF(K$3=12,0.1*$G103,""),IF(2026-K$4&lt;$C103,"",K$4*$G103))</f>
        <v>17697</v>
      </c>
      <c r="L103" s="19">
        <f>IF(2026-L$3&gt;IF($D103="",2026,$D103),IF(L$3=12,0.1*$G103,""),IF(2026-L$4&lt;$C103,"",L$4*$G103))</f>
        <v>19779</v>
      </c>
      <c r="M103" s="19" t="str">
        <f>IF(2026-M$3&gt;IF($D103="",2026,$D103),IF(M$3=12,0.1*$G103,""),IF(2026-M$4&lt;$C103,"",M$4*$G103))</f>
        <v/>
      </c>
      <c r="N103" s="19" t="str">
        <f>IF(2026-N$3&gt;IF($D103="",2026,$D103),IF(N$3=12,0.1*$G103,""),IF(2026-N$4&lt;$C103,"",N$4*$G103))</f>
        <v/>
      </c>
      <c r="O103" s="19" t="str">
        <f>IF(2026-O$3&gt;IF($D103="",2026,$D103),IF(O$3=12,0.1*$G103,""),IF(2026-O$4&lt;$C103,"",O$4*$G103))</f>
        <v/>
      </c>
      <c r="P103" s="19" t="str">
        <f>IF(2026-P$3&gt;IF($D103="",2026,$D103),IF(P$3=12,0.1*$G103,""),IF(2026-P$4&lt;$C103,"",P$4*$G103))</f>
        <v/>
      </c>
      <c r="Q103" s="19" t="str">
        <f>IF(2026-Q$3&gt;IF($D103="",2026,$D103),IF(Q$3=12,0.1*$G103,""),IF(2026-Q$4&lt;$C103,"",Q$4*$G103))</f>
        <v/>
      </c>
      <c r="R103" s="19" t="str">
        <f>IF(2026-R$3&gt;IF($D103="",2026,$D103),IF(R$3=12,0.1*$G103,""),IF(2026-R$4&lt;$C103,"",R$4*$G103))</f>
        <v/>
      </c>
      <c r="S103" s="19" t="str">
        <f>IF(2026-S$3&gt;IF($D103="",2026,$D103),IF(S$3=12,0.1*$G103,""),IF(2026-S$4&lt;$C103,"",S$4*$G103))</f>
        <v/>
      </c>
      <c r="T103" s="19" t="str">
        <f>IF(2026-T$3&gt;IF($D103="",2026,$D103),IF(T$3=12,0.1*$G103,""),IF(2026-T$4&lt;$C103,"",T$4*$G103))</f>
        <v/>
      </c>
    </row>
    <row r="104" spans="1:20" s="18" customFormat="1" ht="12" customHeight="1" x14ac:dyDescent="0.2">
      <c r="A104" s="17"/>
      <c r="B104" s="16" t="s">
        <v>333</v>
      </c>
      <c r="C104" s="13">
        <v>2014</v>
      </c>
      <c r="D104" s="13">
        <v>2017</v>
      </c>
      <c r="E104" s="13">
        <v>3436</v>
      </c>
      <c r="F104" s="13">
        <v>350</v>
      </c>
      <c r="G104" s="21">
        <v>107400</v>
      </c>
      <c r="H104" s="22" t="str">
        <f>IF(B104&gt;2014,"",F104*$I$4)</f>
        <v/>
      </c>
      <c r="I104" s="19">
        <f>IF(2026-I$3&gt;IF($D104="",2026,$D104),IF(I$3=12,0.1*$G104,""),IF(2026-I$4&lt;$C104,"",I$4*$G104))</f>
        <v>10740</v>
      </c>
      <c r="J104" s="19">
        <f>IF(2026-J$3&gt;IF($D104="",2026,$D104),IF(J$3=12,0.1*$G104,""),IF(2026-J$4&lt;$C104,"",J$4*$G104))</f>
        <v>13962</v>
      </c>
      <c r="K104" s="19">
        <f>IF(2026-K$3&gt;IF($D104="",2026,$D104),IF(K$3=12,0.1*$G104,""),IF(2026-K$4&lt;$C104,"",K$4*$G104))</f>
        <v>18258</v>
      </c>
      <c r="L104" s="19">
        <f>IF(2026-L$3&gt;IF($D104="",2026,$D104),IF(L$3=12,0.1*$G104,""),IF(2026-L$4&lt;$C104,"",L$4*$G104))</f>
        <v>20406</v>
      </c>
      <c r="M104" s="19" t="str">
        <f>IF(2026-M$3&gt;IF($D104="",2026,$D104),IF(M$3=12,0.1*$G104,""),IF(2026-M$4&lt;$C104,"",M$4*$G104))</f>
        <v/>
      </c>
      <c r="N104" s="19" t="str">
        <f>IF(2026-N$3&gt;IF($D104="",2026,$D104),IF(N$3=12,0.1*$G104,""),IF(2026-N$4&lt;$C104,"",N$4*$G104))</f>
        <v/>
      </c>
      <c r="O104" s="19" t="str">
        <f>IF(2026-O$3&gt;IF($D104="",2026,$D104),IF(O$3=12,0.1*$G104,""),IF(2026-O$4&lt;$C104,"",O$4*$G104))</f>
        <v/>
      </c>
      <c r="P104" s="19" t="str">
        <f>IF(2026-P$3&gt;IF($D104="",2026,$D104),IF(P$3=12,0.1*$G104,""),IF(2026-P$4&lt;$C104,"",P$4*$G104))</f>
        <v/>
      </c>
      <c r="Q104" s="19" t="str">
        <f>IF(2026-Q$3&gt;IF($D104="",2026,$D104),IF(Q$3=12,0.1*$G104,""),IF(2026-Q$4&lt;$C104,"",Q$4*$G104))</f>
        <v/>
      </c>
      <c r="R104" s="19" t="str">
        <f>IF(2026-R$3&gt;IF($D104="",2026,$D104),IF(R$3=12,0.1*$G104,""),IF(2026-R$4&lt;$C104,"",R$4*$G104))</f>
        <v/>
      </c>
      <c r="S104" s="19" t="str">
        <f>IF(2026-S$3&gt;IF($D104="",2026,$D104),IF(S$3=12,0.1*$G104,""),IF(2026-S$4&lt;$C104,"",S$4*$G104))</f>
        <v/>
      </c>
      <c r="T104" s="19" t="str">
        <f>IF(2026-T$3&gt;IF($D104="",2026,$D104),IF(T$3=12,0.1*$G104,""),IF(2026-T$4&lt;$C104,"",T$4*$G104))</f>
        <v/>
      </c>
    </row>
    <row r="105" spans="1:20" s="18" customFormat="1" ht="12" customHeight="1" x14ac:dyDescent="0.2">
      <c r="A105" s="17"/>
      <c r="B105" s="16" t="s">
        <v>332</v>
      </c>
      <c r="C105" s="13">
        <v>2014</v>
      </c>
      <c r="D105" s="13">
        <v>2017</v>
      </c>
      <c r="E105" s="13">
        <v>3800</v>
      </c>
      <c r="F105" s="13">
        <v>400</v>
      </c>
      <c r="G105" s="21">
        <v>117900</v>
      </c>
      <c r="H105" s="22" t="str">
        <f>IF(B105&gt;2014,"",F105*$I$4)</f>
        <v/>
      </c>
      <c r="I105" s="19">
        <f>IF(2026-I$3&gt;IF($D105="",2026,$D105),IF(I$3=12,0.1*$G105,""),IF(2026-I$4&lt;$C105,"",I$4*$G105))</f>
        <v>11790</v>
      </c>
      <c r="J105" s="19">
        <f>IF(2026-J$3&gt;IF($D105="",2026,$D105),IF(J$3=12,0.1*$G105,""),IF(2026-J$4&lt;$C105,"",J$4*$G105))</f>
        <v>15327</v>
      </c>
      <c r="K105" s="19">
        <f>IF(2026-K$3&gt;IF($D105="",2026,$D105),IF(K$3=12,0.1*$G105,""),IF(2026-K$4&lt;$C105,"",K$4*$G105))</f>
        <v>20043</v>
      </c>
      <c r="L105" s="19">
        <f>IF(2026-L$3&gt;IF($D105="",2026,$D105),IF(L$3=12,0.1*$G105,""),IF(2026-L$4&lt;$C105,"",L$4*$G105))</f>
        <v>22401</v>
      </c>
      <c r="M105" s="19" t="str">
        <f>IF(2026-M$3&gt;IF($D105="",2026,$D105),IF(M$3=12,0.1*$G105,""),IF(2026-M$4&lt;$C105,"",M$4*$G105))</f>
        <v/>
      </c>
      <c r="N105" s="19" t="str">
        <f>IF(2026-N$3&gt;IF($D105="",2026,$D105),IF(N$3=12,0.1*$G105,""),IF(2026-N$4&lt;$C105,"",N$4*$G105))</f>
        <v/>
      </c>
      <c r="O105" s="19" t="str">
        <f>IF(2026-O$3&gt;IF($D105="",2026,$D105),IF(O$3=12,0.1*$G105,""),IF(2026-O$4&lt;$C105,"",O$4*$G105))</f>
        <v/>
      </c>
      <c r="P105" s="19" t="str">
        <f>IF(2026-P$3&gt;IF($D105="",2026,$D105),IF(P$3=12,0.1*$G105,""),IF(2026-P$4&lt;$C105,"",P$4*$G105))</f>
        <v/>
      </c>
      <c r="Q105" s="19" t="str">
        <f>IF(2026-Q$3&gt;IF($D105="",2026,$D105),IF(Q$3=12,0.1*$G105,""),IF(2026-Q$4&lt;$C105,"",Q$4*$G105))</f>
        <v/>
      </c>
      <c r="R105" s="19" t="str">
        <f>IF(2026-R$3&gt;IF($D105="",2026,$D105),IF(R$3=12,0.1*$G105,""),IF(2026-R$4&lt;$C105,"",R$4*$G105))</f>
        <v/>
      </c>
      <c r="S105" s="19" t="str">
        <f>IF(2026-S$3&gt;IF($D105="",2026,$D105),IF(S$3=12,0.1*$G105,""),IF(2026-S$4&lt;$C105,"",S$4*$G105))</f>
        <v/>
      </c>
      <c r="T105" s="19" t="str">
        <f>IF(2026-T$3&gt;IF($D105="",2026,$D105),IF(T$3=12,0.1*$G105,""),IF(2026-T$4&lt;$C105,"",T$4*$G105))</f>
        <v/>
      </c>
    </row>
    <row r="106" spans="1:20" s="18" customFormat="1" ht="12" customHeight="1" x14ac:dyDescent="0.2">
      <c r="A106" s="17"/>
      <c r="B106" s="16" t="s">
        <v>331</v>
      </c>
      <c r="C106" s="13">
        <v>2014</v>
      </c>
      <c r="D106" s="13">
        <v>2017</v>
      </c>
      <c r="E106" s="13">
        <v>3800</v>
      </c>
      <c r="F106" s="13">
        <v>400</v>
      </c>
      <c r="G106" s="21">
        <v>121300</v>
      </c>
      <c r="H106" s="22" t="str">
        <f>IF(B106&gt;2014,"",F106*$I$4)</f>
        <v/>
      </c>
      <c r="I106" s="19">
        <f>IF(2026-I$3&gt;IF($D106="",2026,$D106),IF(I$3=12,0.1*$G106,""),IF(2026-I$4&lt;$C106,"",I$4*$G106))</f>
        <v>12130</v>
      </c>
      <c r="J106" s="19">
        <f>IF(2026-J$3&gt;IF($D106="",2026,$D106),IF(J$3=12,0.1*$G106,""),IF(2026-J$4&lt;$C106,"",J$4*$G106))</f>
        <v>15769</v>
      </c>
      <c r="K106" s="19">
        <f>IF(2026-K$3&gt;IF($D106="",2026,$D106),IF(K$3=12,0.1*$G106,""),IF(2026-K$4&lt;$C106,"",K$4*$G106))</f>
        <v>20621</v>
      </c>
      <c r="L106" s="19">
        <f>IF(2026-L$3&gt;IF($D106="",2026,$D106),IF(L$3=12,0.1*$G106,""),IF(2026-L$4&lt;$C106,"",L$4*$G106))</f>
        <v>23047</v>
      </c>
      <c r="M106" s="19" t="str">
        <f>IF(2026-M$3&gt;IF($D106="",2026,$D106),IF(M$3=12,0.1*$G106,""),IF(2026-M$4&lt;$C106,"",M$4*$G106))</f>
        <v/>
      </c>
      <c r="N106" s="19" t="str">
        <f>IF(2026-N$3&gt;IF($D106="",2026,$D106),IF(N$3=12,0.1*$G106,""),IF(2026-N$4&lt;$C106,"",N$4*$G106))</f>
        <v/>
      </c>
      <c r="O106" s="19" t="str">
        <f>IF(2026-O$3&gt;IF($D106="",2026,$D106),IF(O$3=12,0.1*$G106,""),IF(2026-O$4&lt;$C106,"",O$4*$G106))</f>
        <v/>
      </c>
      <c r="P106" s="19" t="str">
        <f>IF(2026-P$3&gt;IF($D106="",2026,$D106),IF(P$3=12,0.1*$G106,""),IF(2026-P$4&lt;$C106,"",P$4*$G106))</f>
        <v/>
      </c>
      <c r="Q106" s="19" t="str">
        <f>IF(2026-Q$3&gt;IF($D106="",2026,$D106),IF(Q$3=12,0.1*$G106,""),IF(2026-Q$4&lt;$C106,"",Q$4*$G106))</f>
        <v/>
      </c>
      <c r="R106" s="19" t="str">
        <f>IF(2026-R$3&gt;IF($D106="",2026,$D106),IF(R$3=12,0.1*$G106,""),IF(2026-R$4&lt;$C106,"",R$4*$G106))</f>
        <v/>
      </c>
      <c r="S106" s="19" t="str">
        <f>IF(2026-S$3&gt;IF($D106="",2026,$D106),IF(S$3=12,0.1*$G106,""),IF(2026-S$4&lt;$C106,"",S$4*$G106))</f>
        <v/>
      </c>
      <c r="T106" s="19" t="str">
        <f>IF(2026-T$3&gt;IF($D106="",2026,$D106),IF(T$3=12,0.1*$G106,""),IF(2026-T$4&lt;$C106,"",T$4*$G106))</f>
        <v/>
      </c>
    </row>
    <row r="107" spans="1:20" s="18" customFormat="1" ht="12" customHeight="1" x14ac:dyDescent="0.2">
      <c r="A107" s="17"/>
      <c r="B107" s="16" t="s">
        <v>330</v>
      </c>
      <c r="C107" s="13">
        <v>2014</v>
      </c>
      <c r="D107" s="13">
        <v>2017</v>
      </c>
      <c r="E107" s="13">
        <v>3800</v>
      </c>
      <c r="F107" s="13">
        <v>430</v>
      </c>
      <c r="G107" s="21">
        <v>130500</v>
      </c>
      <c r="H107" s="22"/>
      <c r="I107" s="19">
        <f>IF(2026-I$3&gt;IF($D107="",2026,$D107),IF(I$3=12,0.1*$G107,""),IF(2026-I$4&lt;$C107,"",I$4*$G107))</f>
        <v>13050</v>
      </c>
      <c r="J107" s="19">
        <f>IF(2026-J$3&gt;IF($D107="",2026,$D107),IF(J$3=12,0.1*$G107,""),IF(2026-J$4&lt;$C107,"",J$4*$G107))</f>
        <v>16965</v>
      </c>
      <c r="K107" s="19">
        <f>IF(2026-K$3&gt;IF($D107="",2026,$D107),IF(K$3=12,0.1*$G107,""),IF(2026-K$4&lt;$C107,"",K$4*$G107))</f>
        <v>22185</v>
      </c>
      <c r="L107" s="19">
        <f>IF(2026-L$3&gt;IF($D107="",2026,$D107),IF(L$3=12,0.1*$G107,""),IF(2026-L$4&lt;$C107,"",L$4*$G107))</f>
        <v>24795</v>
      </c>
      <c r="M107" s="19" t="str">
        <f>IF(2026-M$3&gt;IF($D107="",2026,$D107),IF(M$3=12,0.1*$G107,""),IF(2026-M$4&lt;$C107,"",M$4*$G107))</f>
        <v/>
      </c>
      <c r="N107" s="19" t="str">
        <f>IF(2026-N$3&gt;IF($D107="",2026,$D107),IF(N$3=12,0.1*$G107,""),IF(2026-N$4&lt;$C107,"",N$4*$G107))</f>
        <v/>
      </c>
      <c r="O107" s="19" t="str">
        <f>IF(2026-O$3&gt;IF($D107="",2026,$D107),IF(O$3=12,0.1*$G107,""),IF(2026-O$4&lt;$C107,"",O$4*$G107))</f>
        <v/>
      </c>
      <c r="P107" s="19" t="str">
        <f>IF(2026-P$3&gt;IF($D107="",2026,$D107),IF(P$3=12,0.1*$G107,""),IF(2026-P$4&lt;$C107,"",P$4*$G107))</f>
        <v/>
      </c>
      <c r="Q107" s="19" t="str">
        <f>IF(2026-Q$3&gt;IF($D107="",2026,$D107),IF(Q$3=12,0.1*$G107,""),IF(2026-Q$4&lt;$C107,"",Q$4*$G107))</f>
        <v/>
      </c>
      <c r="R107" s="19" t="str">
        <f>IF(2026-R$3&gt;IF($D107="",2026,$D107),IF(R$3=12,0.1*$G107,""),IF(2026-R$4&lt;$C107,"",R$4*$G107))</f>
        <v/>
      </c>
      <c r="S107" s="19" t="str">
        <f>IF(2026-S$3&gt;IF($D107="",2026,$D107),IF(S$3=12,0.1*$G107,""),IF(2026-S$4&lt;$C107,"",S$4*$G107))</f>
        <v/>
      </c>
      <c r="T107" s="19" t="str">
        <f>IF(2026-T$3&gt;IF($D107="",2026,$D107),IF(T$3=12,0.1*$G107,""),IF(2026-T$4&lt;$C107,"",T$4*$G107))</f>
        <v/>
      </c>
    </row>
    <row r="108" spans="1:20" s="18" customFormat="1" ht="12" customHeight="1" x14ac:dyDescent="0.2">
      <c r="A108" s="17"/>
      <c r="B108" s="16" t="s">
        <v>329</v>
      </c>
      <c r="C108" s="13">
        <v>2014</v>
      </c>
      <c r="D108" s="13">
        <v>2017</v>
      </c>
      <c r="E108" s="13">
        <v>3800</v>
      </c>
      <c r="F108" s="13">
        <v>430</v>
      </c>
      <c r="G108" s="21">
        <v>134400</v>
      </c>
      <c r="H108" s="22"/>
      <c r="I108" s="19">
        <f>IF(2026-I$3&gt;IF($D108="",2026,$D108),IF(I$3=12,0.1*$G108,""),IF(2026-I$4&lt;$C108,"",I$4*$G108))</f>
        <v>13440</v>
      </c>
      <c r="J108" s="19">
        <f>IF(2026-J$3&gt;IF($D108="",2026,$D108),IF(J$3=12,0.1*$G108,""),IF(2026-J$4&lt;$C108,"",J$4*$G108))</f>
        <v>17472</v>
      </c>
      <c r="K108" s="19">
        <f>IF(2026-K$3&gt;IF($D108="",2026,$D108),IF(K$3=12,0.1*$G108,""),IF(2026-K$4&lt;$C108,"",K$4*$G108))</f>
        <v>22848</v>
      </c>
      <c r="L108" s="19">
        <f>IF(2026-L$3&gt;IF($D108="",2026,$D108),IF(L$3=12,0.1*$G108,""),IF(2026-L$4&lt;$C108,"",L$4*$G108))</f>
        <v>25536</v>
      </c>
      <c r="M108" s="19" t="str">
        <f>IF(2026-M$3&gt;IF($D108="",2026,$D108),IF(M$3=12,0.1*$G108,""),IF(2026-M$4&lt;$C108,"",M$4*$G108))</f>
        <v/>
      </c>
      <c r="N108" s="19" t="str">
        <f>IF(2026-N$3&gt;IF($D108="",2026,$D108),IF(N$3=12,0.1*$G108,""),IF(2026-N$4&lt;$C108,"",N$4*$G108))</f>
        <v/>
      </c>
      <c r="O108" s="19" t="str">
        <f>IF(2026-O$3&gt;IF($D108="",2026,$D108),IF(O$3=12,0.1*$G108,""),IF(2026-O$4&lt;$C108,"",O$4*$G108))</f>
        <v/>
      </c>
      <c r="P108" s="19" t="str">
        <f>IF(2026-P$3&gt;IF($D108="",2026,$D108),IF(P$3=12,0.1*$G108,""),IF(2026-P$4&lt;$C108,"",P$4*$G108))</f>
        <v/>
      </c>
      <c r="Q108" s="19" t="str">
        <f>IF(2026-Q$3&gt;IF($D108="",2026,$D108),IF(Q$3=12,0.1*$G108,""),IF(2026-Q$4&lt;$C108,"",Q$4*$G108))</f>
        <v/>
      </c>
      <c r="R108" s="19" t="str">
        <f>IF(2026-R$3&gt;IF($D108="",2026,$D108),IF(R$3=12,0.1*$G108,""),IF(2026-R$4&lt;$C108,"",R$4*$G108))</f>
        <v/>
      </c>
      <c r="S108" s="19" t="str">
        <f>IF(2026-S$3&gt;IF($D108="",2026,$D108),IF(S$3=12,0.1*$G108,""),IF(2026-S$4&lt;$C108,"",S$4*$G108))</f>
        <v/>
      </c>
      <c r="T108" s="19" t="str">
        <f>IF(2026-T$3&gt;IF($D108="",2026,$D108),IF(T$3=12,0.1*$G108,""),IF(2026-T$4&lt;$C108,"",T$4*$G108))</f>
        <v/>
      </c>
    </row>
    <row r="109" spans="1:20" s="18" customFormat="1" ht="12" customHeight="1" x14ac:dyDescent="0.2">
      <c r="A109" s="17"/>
      <c r="B109" s="16" t="s">
        <v>328</v>
      </c>
      <c r="C109" s="13">
        <v>2015</v>
      </c>
      <c r="D109" s="13"/>
      <c r="E109" s="13">
        <v>2981</v>
      </c>
      <c r="F109" s="13">
        <v>370</v>
      </c>
      <c r="G109" s="21">
        <v>104600</v>
      </c>
      <c r="H109" s="22"/>
      <c r="I109" s="19">
        <f>IF(2026-I$3&gt;IF($D109="",2026,$D109),IF(I$3=12,0.1*$G109,""),IF(2026-I$4&lt;$C109,"",I$4*$G109))</f>
        <v>10460</v>
      </c>
      <c r="J109" s="19">
        <f>IF(2026-J$3&gt;IF($D109="",2026,$D109),IF(J$3=12,0.1*$G109,""),IF(2026-J$4&lt;$C109,"",J$4*$G109))</f>
        <v>13598</v>
      </c>
      <c r="K109" s="19">
        <f>IF(2026-K$3&gt;IF($D109="",2026,$D109),IF(K$3=12,0.1*$G109,""),IF(2026-K$4&lt;$C109,"",K$4*$G109))</f>
        <v>17782</v>
      </c>
      <c r="L109" s="19">
        <f>IF(2026-L$3&gt;IF($D109="",2026,$D109),IF(L$3=12,0.1*$G109,""),IF(2026-L$4&lt;$C109,"",L$4*$G109))</f>
        <v>19874</v>
      </c>
      <c r="M109" s="19">
        <f>IF(2026-M$3&gt;IF($D109="",2026,$D109),IF(M$3=12,0.1*$G109,""),IF(2026-M$4&lt;$C109,"",M$4*$G109))</f>
        <v>25104</v>
      </c>
      <c r="N109" s="19">
        <f>IF(2026-N$3&gt;IF($D109="",2026,$D109),IF(N$3=12,0.1*$G109,""),IF(2026-N$4&lt;$C109,"",N$4*$G109))</f>
        <v>29288.000000000004</v>
      </c>
      <c r="O109" s="19">
        <f>IF(2026-O$3&gt;IF($D109="",2026,$D109),IF(O$3=12,0.1*$G109,""),IF(2026-O$4&lt;$C109,"",O$4*$G109))</f>
        <v>35564</v>
      </c>
      <c r="P109" s="19">
        <f>IF(2026-P$3&gt;IF($D109="",2026,$D109),IF(P$3=12,0.1*$G109,""),IF(2026-P$4&lt;$C109,"",P$4*$G109))</f>
        <v>40794</v>
      </c>
      <c r="Q109" s="19">
        <f>IF(2026-Q$3&gt;IF($D109="",2026,$D109),IF(Q$3=12,0.1*$G109,""),IF(2026-Q$4&lt;$C109,"",Q$4*$G109))</f>
        <v>49162</v>
      </c>
      <c r="R109" s="19">
        <f>IF(2026-R$3&gt;IF($D109="",2026,$D109),IF(R$3=12,0.1*$G109,""),IF(2026-R$4&lt;$C109,"",R$4*$G109))</f>
        <v>58576.000000000007</v>
      </c>
      <c r="S109" s="19">
        <f>IF(2026-S$3&gt;IF($D109="",2026,$D109),IF(S$3=12,0.1*$G109,""),IF(2026-S$4&lt;$C109,"",S$4*$G109))</f>
        <v>70082</v>
      </c>
      <c r="T109" s="19">
        <f>IF(2026-T$3&gt;IF($D109="",2026,$D109),IF(T$3=12,0.1*$G109,""),IF(2026-T$4&lt;$C109,"",T$4*$G109))</f>
        <v>87864</v>
      </c>
    </row>
    <row r="110" spans="1:20" s="18" customFormat="1" ht="12" customHeight="1" x14ac:dyDescent="0.2">
      <c r="A110" s="17"/>
      <c r="B110" s="16" t="s">
        <v>327</v>
      </c>
      <c r="C110" s="13">
        <v>2015</v>
      </c>
      <c r="D110" s="13"/>
      <c r="E110" s="13">
        <v>2981</v>
      </c>
      <c r="F110" s="13">
        <v>370</v>
      </c>
      <c r="G110" s="21">
        <v>92400</v>
      </c>
      <c r="H110" s="20"/>
      <c r="I110" s="19">
        <f>IF(2026-I$3&gt;IF($D110="",2026,$D110),IF(I$3=12,0.1*$G110,""),IF(2026-I$4&lt;$C110,"",I$4*$G110))</f>
        <v>9240</v>
      </c>
      <c r="J110" s="19">
        <f>IF(2026-J$3&gt;IF($D110="",2026,$D110),IF(J$3=12,0.1*$G110,""),IF(2026-J$4&lt;$C110,"",J$4*$G110))</f>
        <v>12012</v>
      </c>
      <c r="K110" s="19">
        <f>IF(2026-K$3&gt;IF($D110="",2026,$D110),IF(K$3=12,0.1*$G110,""),IF(2026-K$4&lt;$C110,"",K$4*$G110))</f>
        <v>15708.000000000002</v>
      </c>
      <c r="L110" s="19">
        <f>IF(2026-L$3&gt;IF($D110="",2026,$D110),IF(L$3=12,0.1*$G110,""),IF(2026-L$4&lt;$C110,"",L$4*$G110))</f>
        <v>17556</v>
      </c>
      <c r="M110" s="19">
        <f>IF(2026-M$3&gt;IF($D110="",2026,$D110),IF(M$3=12,0.1*$G110,""),IF(2026-M$4&lt;$C110,"",M$4*$G110))</f>
        <v>22176</v>
      </c>
      <c r="N110" s="19">
        <f>IF(2026-N$3&gt;IF($D110="",2026,$D110),IF(N$3=12,0.1*$G110,""),IF(2026-N$4&lt;$C110,"",N$4*$G110))</f>
        <v>25872.000000000004</v>
      </c>
      <c r="O110" s="19">
        <f>IF(2026-O$3&gt;IF($D110="",2026,$D110),IF(O$3=12,0.1*$G110,""),IF(2026-O$4&lt;$C110,"",O$4*$G110))</f>
        <v>31416.000000000004</v>
      </c>
      <c r="P110" s="19">
        <f>IF(2026-P$3&gt;IF($D110="",2026,$D110),IF(P$3=12,0.1*$G110,""),IF(2026-P$4&lt;$C110,"",P$4*$G110))</f>
        <v>36036</v>
      </c>
      <c r="Q110" s="19">
        <f>IF(2026-Q$3&gt;IF($D110="",2026,$D110),IF(Q$3=12,0.1*$G110,""),IF(2026-Q$4&lt;$C110,"",Q$4*$G110))</f>
        <v>43428</v>
      </c>
      <c r="R110" s="19">
        <f>IF(2026-R$3&gt;IF($D110="",2026,$D110),IF(R$3=12,0.1*$G110,""),IF(2026-R$4&lt;$C110,"",R$4*$G110))</f>
        <v>51744.000000000007</v>
      </c>
      <c r="S110" s="19">
        <f>IF(2026-S$3&gt;IF($D110="",2026,$D110),IF(S$3=12,0.1*$G110,""),IF(2026-S$4&lt;$C110,"",S$4*$G110))</f>
        <v>61908.000000000007</v>
      </c>
      <c r="T110" s="19">
        <f>IF(2026-T$3&gt;IF($D110="",2026,$D110),IF(T$3=12,0.1*$G110,""),IF(2026-T$4&lt;$C110,"",T$4*$G110))</f>
        <v>77616</v>
      </c>
    </row>
    <row r="111" spans="1:20" s="18" customFormat="1" ht="12" customHeight="1" x14ac:dyDescent="0.2">
      <c r="A111" s="17"/>
      <c r="B111" s="16" t="s">
        <v>326</v>
      </c>
      <c r="C111" s="13">
        <v>2015</v>
      </c>
      <c r="D111" s="13"/>
      <c r="E111" s="13">
        <v>2981</v>
      </c>
      <c r="F111" s="13">
        <v>370</v>
      </c>
      <c r="G111" s="21">
        <v>115900</v>
      </c>
      <c r="H111" s="20"/>
      <c r="I111" s="19">
        <f>IF(2026-I$3&gt;IF($D111="",2026,$D111),IF(I$3=12,0.1*$G111,""),IF(2026-I$4&lt;$C111,"",I$4*$G111))</f>
        <v>11590</v>
      </c>
      <c r="J111" s="19">
        <f>IF(2026-J$3&gt;IF($D111="",2026,$D111),IF(J$3=12,0.1*$G111,""),IF(2026-J$4&lt;$C111,"",J$4*$G111))</f>
        <v>15067</v>
      </c>
      <c r="K111" s="19">
        <f>IF(2026-K$3&gt;IF($D111="",2026,$D111),IF(K$3=12,0.1*$G111,""),IF(2026-K$4&lt;$C111,"",K$4*$G111))</f>
        <v>19703</v>
      </c>
      <c r="L111" s="19">
        <f>IF(2026-L$3&gt;IF($D111="",2026,$D111),IF(L$3=12,0.1*$G111,""),IF(2026-L$4&lt;$C111,"",L$4*$G111))</f>
        <v>22021</v>
      </c>
      <c r="M111" s="19">
        <f>IF(2026-M$3&gt;IF($D111="",2026,$D111),IF(M$3=12,0.1*$G111,""),IF(2026-M$4&lt;$C111,"",M$4*$G111))</f>
        <v>27816</v>
      </c>
      <c r="N111" s="19">
        <f>IF(2026-N$3&gt;IF($D111="",2026,$D111),IF(N$3=12,0.1*$G111,""),IF(2026-N$4&lt;$C111,"",N$4*$G111))</f>
        <v>32452.000000000004</v>
      </c>
      <c r="O111" s="19">
        <f>IF(2026-O$3&gt;IF($D111="",2026,$D111),IF(O$3=12,0.1*$G111,""),IF(2026-O$4&lt;$C111,"",O$4*$G111))</f>
        <v>39406</v>
      </c>
      <c r="P111" s="19">
        <f>IF(2026-P$3&gt;IF($D111="",2026,$D111),IF(P$3=12,0.1*$G111,""),IF(2026-P$4&lt;$C111,"",P$4*$G111))</f>
        <v>45201</v>
      </c>
      <c r="Q111" s="19">
        <f>IF(2026-Q$3&gt;IF($D111="",2026,$D111),IF(Q$3=12,0.1*$G111,""),IF(2026-Q$4&lt;$C111,"",Q$4*$G111))</f>
        <v>54473</v>
      </c>
      <c r="R111" s="19">
        <f>IF(2026-R$3&gt;IF($D111="",2026,$D111),IF(R$3=12,0.1*$G111,""),IF(2026-R$4&lt;$C111,"",R$4*$G111))</f>
        <v>64904.000000000007</v>
      </c>
      <c r="S111" s="19">
        <f>IF(2026-S$3&gt;IF($D111="",2026,$D111),IF(S$3=12,0.1*$G111,""),IF(2026-S$4&lt;$C111,"",S$4*$G111))</f>
        <v>77653</v>
      </c>
      <c r="T111" s="19">
        <f>IF(2026-T$3&gt;IF($D111="",2026,$D111),IF(T$3=12,0.1*$G111,""),IF(2026-T$4&lt;$C111,"",T$4*$G111))</f>
        <v>97356</v>
      </c>
    </row>
    <row r="112" spans="1:20" s="18" customFormat="1" ht="12" customHeight="1" x14ac:dyDescent="0.2">
      <c r="A112" s="17"/>
      <c r="B112" s="16" t="s">
        <v>325</v>
      </c>
      <c r="C112" s="13">
        <v>2015</v>
      </c>
      <c r="D112" s="13"/>
      <c r="E112" s="13">
        <v>2981</v>
      </c>
      <c r="F112" s="13">
        <v>370</v>
      </c>
      <c r="G112" s="21">
        <v>115900</v>
      </c>
      <c r="H112" s="20"/>
      <c r="I112" s="19">
        <f>IF(2026-I$3&gt;IF($D112="",2026,$D112),IF(I$3=12,0.1*$G112,""),IF(2026-I$4&lt;$C112,"",I$4*$G112))</f>
        <v>11590</v>
      </c>
      <c r="J112" s="19">
        <f>IF(2026-J$3&gt;IF($D112="",2026,$D112),IF(J$3=12,0.1*$G112,""),IF(2026-J$4&lt;$C112,"",J$4*$G112))</f>
        <v>15067</v>
      </c>
      <c r="K112" s="19">
        <f>IF(2026-K$3&gt;IF($D112="",2026,$D112),IF(K$3=12,0.1*$G112,""),IF(2026-K$4&lt;$C112,"",K$4*$G112))</f>
        <v>19703</v>
      </c>
      <c r="L112" s="19">
        <f>IF(2026-L$3&gt;IF($D112="",2026,$D112),IF(L$3=12,0.1*$G112,""),IF(2026-L$4&lt;$C112,"",L$4*$G112))</f>
        <v>22021</v>
      </c>
      <c r="M112" s="19">
        <f>IF(2026-M$3&gt;IF($D112="",2026,$D112),IF(M$3=12,0.1*$G112,""),IF(2026-M$4&lt;$C112,"",M$4*$G112))</f>
        <v>27816</v>
      </c>
      <c r="N112" s="19">
        <f>IF(2026-N$3&gt;IF($D112="",2026,$D112),IF(N$3=12,0.1*$G112,""),IF(2026-N$4&lt;$C112,"",N$4*$G112))</f>
        <v>32452.000000000004</v>
      </c>
      <c r="O112" s="19">
        <f>IF(2026-O$3&gt;IF($D112="",2026,$D112),IF(O$3=12,0.1*$G112,""),IF(2026-O$4&lt;$C112,"",O$4*$G112))</f>
        <v>39406</v>
      </c>
      <c r="P112" s="19">
        <f>IF(2026-P$3&gt;IF($D112="",2026,$D112),IF(P$3=12,0.1*$G112,""),IF(2026-P$4&lt;$C112,"",P$4*$G112))</f>
        <v>45201</v>
      </c>
      <c r="Q112" s="19">
        <f>IF(2026-Q$3&gt;IF($D112="",2026,$D112),IF(Q$3=12,0.1*$G112,""),IF(2026-Q$4&lt;$C112,"",Q$4*$G112))</f>
        <v>54473</v>
      </c>
      <c r="R112" s="19">
        <f>IF(2026-R$3&gt;IF($D112="",2026,$D112),IF(R$3=12,0.1*$G112,""),IF(2026-R$4&lt;$C112,"",R$4*$G112))</f>
        <v>64904.000000000007</v>
      </c>
      <c r="S112" s="19">
        <f>IF(2026-S$3&gt;IF($D112="",2026,$D112),IF(S$3=12,0.1*$G112,""),IF(2026-S$4&lt;$C112,"",S$4*$G112))</f>
        <v>77653</v>
      </c>
      <c r="T112" s="19">
        <f>IF(2026-T$3&gt;IF($D112="",2026,$D112),IF(T$3=12,0.1*$G112,""),IF(2026-T$4&lt;$C112,"",T$4*$G112))</f>
        <v>97356</v>
      </c>
    </row>
    <row r="113" spans="1:20" s="18" customFormat="1" ht="12" customHeight="1" x14ac:dyDescent="0.2">
      <c r="A113" s="17"/>
      <c r="B113" s="16" t="s">
        <v>324</v>
      </c>
      <c r="C113" s="13">
        <v>2015</v>
      </c>
      <c r="D113" s="13"/>
      <c r="E113" s="13">
        <v>2981</v>
      </c>
      <c r="F113" s="13">
        <v>370</v>
      </c>
      <c r="G113" s="21">
        <v>115000</v>
      </c>
      <c r="H113" s="20"/>
      <c r="I113" s="19">
        <f>IF(2026-I$3&gt;IF($D113="",2026,$D113),IF(I$3=12,0.1*$G113,""),IF(2026-I$4&lt;$C113,"",I$4*$G113))</f>
        <v>11500</v>
      </c>
      <c r="J113" s="19">
        <f>IF(2026-J$3&gt;IF($D113="",2026,$D113),IF(J$3=12,0.1*$G113,""),IF(2026-J$4&lt;$C113,"",J$4*$G113))</f>
        <v>14950</v>
      </c>
      <c r="K113" s="19">
        <f>IF(2026-K$3&gt;IF($D113="",2026,$D113),IF(K$3=12,0.1*$G113,""),IF(2026-K$4&lt;$C113,"",K$4*$G113))</f>
        <v>19550</v>
      </c>
      <c r="L113" s="19">
        <f>IF(2026-L$3&gt;IF($D113="",2026,$D113),IF(L$3=12,0.1*$G113,""),IF(2026-L$4&lt;$C113,"",L$4*$G113))</f>
        <v>21850</v>
      </c>
      <c r="M113" s="19">
        <f>IF(2026-M$3&gt;IF($D113="",2026,$D113),IF(M$3=12,0.1*$G113,""),IF(2026-M$4&lt;$C113,"",M$4*$G113))</f>
        <v>27600</v>
      </c>
      <c r="N113" s="19">
        <f>IF(2026-N$3&gt;IF($D113="",2026,$D113),IF(N$3=12,0.1*$G113,""),IF(2026-N$4&lt;$C113,"",N$4*$G113))</f>
        <v>32200.000000000004</v>
      </c>
      <c r="O113" s="19">
        <f>IF(2026-O$3&gt;IF($D113="",2026,$D113),IF(O$3=12,0.1*$G113,""),IF(2026-O$4&lt;$C113,"",O$4*$G113))</f>
        <v>39100</v>
      </c>
      <c r="P113" s="19">
        <f>IF(2026-P$3&gt;IF($D113="",2026,$D113),IF(P$3=12,0.1*$G113,""),IF(2026-P$4&lt;$C113,"",P$4*$G113))</f>
        <v>44850</v>
      </c>
      <c r="Q113" s="19">
        <f>IF(2026-Q$3&gt;IF($D113="",2026,$D113),IF(Q$3=12,0.1*$G113,""),IF(2026-Q$4&lt;$C113,"",Q$4*$G113))</f>
        <v>54050</v>
      </c>
      <c r="R113" s="19">
        <f>IF(2026-R$3&gt;IF($D113="",2026,$D113),IF(R$3=12,0.1*$G113,""),IF(2026-R$4&lt;$C113,"",R$4*$G113))</f>
        <v>64400.000000000007</v>
      </c>
      <c r="S113" s="19">
        <f>IF(2026-S$3&gt;IF($D113="",2026,$D113),IF(S$3=12,0.1*$G113,""),IF(2026-S$4&lt;$C113,"",S$4*$G113))</f>
        <v>77050</v>
      </c>
      <c r="T113" s="19">
        <f>IF(2026-T$3&gt;IF($D113="",2026,$D113),IF(T$3=12,0.1*$G113,""),IF(2026-T$4&lt;$C113,"",T$4*$G113))</f>
        <v>96600</v>
      </c>
    </row>
    <row r="114" spans="1:20" s="18" customFormat="1" ht="12" customHeight="1" x14ac:dyDescent="0.2">
      <c r="A114" s="17"/>
      <c r="B114" s="16" t="s">
        <v>323</v>
      </c>
      <c r="C114" s="13">
        <v>2015</v>
      </c>
      <c r="D114" s="13"/>
      <c r="E114" s="13">
        <v>2981</v>
      </c>
      <c r="F114" s="13">
        <v>370</v>
      </c>
      <c r="G114" s="21">
        <v>103100</v>
      </c>
      <c r="H114" s="20"/>
      <c r="I114" s="19">
        <f>IF(2026-I$3&gt;IF($D114="",2026,$D114),IF(I$3=12,0.1*$G114,""),IF(2026-I$4&lt;$C114,"",I$4*$G114))</f>
        <v>10310</v>
      </c>
      <c r="J114" s="19">
        <f>IF(2026-J$3&gt;IF($D114="",2026,$D114),IF(J$3=12,0.1*$G114,""),IF(2026-J$4&lt;$C114,"",J$4*$G114))</f>
        <v>13403</v>
      </c>
      <c r="K114" s="19">
        <f>IF(2026-K$3&gt;IF($D114="",2026,$D114),IF(K$3=12,0.1*$G114,""),IF(2026-K$4&lt;$C114,"",K$4*$G114))</f>
        <v>17527</v>
      </c>
      <c r="L114" s="19">
        <f>IF(2026-L$3&gt;IF($D114="",2026,$D114),IF(L$3=12,0.1*$G114,""),IF(2026-L$4&lt;$C114,"",L$4*$G114))</f>
        <v>19589</v>
      </c>
      <c r="M114" s="19">
        <f>IF(2026-M$3&gt;IF($D114="",2026,$D114),IF(M$3=12,0.1*$G114,""),IF(2026-M$4&lt;$C114,"",M$4*$G114))</f>
        <v>24744</v>
      </c>
      <c r="N114" s="19">
        <f>IF(2026-N$3&gt;IF($D114="",2026,$D114),IF(N$3=12,0.1*$G114,""),IF(2026-N$4&lt;$C114,"",N$4*$G114))</f>
        <v>28868.000000000004</v>
      </c>
      <c r="O114" s="19">
        <f>IF(2026-O$3&gt;IF($D114="",2026,$D114),IF(O$3=12,0.1*$G114,""),IF(2026-O$4&lt;$C114,"",O$4*$G114))</f>
        <v>35054</v>
      </c>
      <c r="P114" s="19">
        <f>IF(2026-P$3&gt;IF($D114="",2026,$D114),IF(P$3=12,0.1*$G114,""),IF(2026-P$4&lt;$C114,"",P$4*$G114))</f>
        <v>40209</v>
      </c>
      <c r="Q114" s="19">
        <f>IF(2026-Q$3&gt;IF($D114="",2026,$D114),IF(Q$3=12,0.1*$G114,""),IF(2026-Q$4&lt;$C114,"",Q$4*$G114))</f>
        <v>48457</v>
      </c>
      <c r="R114" s="19">
        <f>IF(2026-R$3&gt;IF($D114="",2026,$D114),IF(R$3=12,0.1*$G114,""),IF(2026-R$4&lt;$C114,"",R$4*$G114))</f>
        <v>57736.000000000007</v>
      </c>
      <c r="S114" s="19">
        <f>IF(2026-S$3&gt;IF($D114="",2026,$D114),IF(S$3=12,0.1*$G114,""),IF(2026-S$4&lt;$C114,"",S$4*$G114))</f>
        <v>69077</v>
      </c>
      <c r="T114" s="19">
        <f>IF(2026-T$3&gt;IF($D114="",2026,$D114),IF(T$3=12,0.1*$G114,""),IF(2026-T$4&lt;$C114,"",T$4*$G114))</f>
        <v>86604</v>
      </c>
    </row>
    <row r="115" spans="1:20" s="18" customFormat="1" ht="12" customHeight="1" x14ac:dyDescent="0.2">
      <c r="A115" s="17"/>
      <c r="B115" s="16" t="s">
        <v>322</v>
      </c>
      <c r="C115" s="13">
        <v>2015</v>
      </c>
      <c r="D115" s="13"/>
      <c r="E115" s="13">
        <v>2981</v>
      </c>
      <c r="F115" s="13">
        <v>370</v>
      </c>
      <c r="G115" s="21">
        <v>102700</v>
      </c>
      <c r="H115" s="20"/>
      <c r="I115" s="19">
        <f>IF(2026-I$3&gt;IF($D115="",2026,$D115),IF(I$3=12,0.1*$G115,""),IF(2026-I$4&lt;$C115,"",I$4*$G115))</f>
        <v>10270</v>
      </c>
      <c r="J115" s="19">
        <f>IF(2026-J$3&gt;IF($D115="",2026,$D115),IF(J$3=12,0.1*$G115,""),IF(2026-J$4&lt;$C115,"",J$4*$G115))</f>
        <v>13351</v>
      </c>
      <c r="K115" s="19">
        <f>IF(2026-K$3&gt;IF($D115="",2026,$D115),IF(K$3=12,0.1*$G115,""),IF(2026-K$4&lt;$C115,"",K$4*$G115))</f>
        <v>17459</v>
      </c>
      <c r="L115" s="19">
        <f>IF(2026-L$3&gt;IF($D115="",2026,$D115),IF(L$3=12,0.1*$G115,""),IF(2026-L$4&lt;$C115,"",L$4*$G115))</f>
        <v>19513</v>
      </c>
      <c r="M115" s="19">
        <f>IF(2026-M$3&gt;IF($D115="",2026,$D115),IF(M$3=12,0.1*$G115,""),IF(2026-M$4&lt;$C115,"",M$4*$G115))</f>
        <v>24648</v>
      </c>
      <c r="N115" s="19">
        <f>IF(2026-N$3&gt;IF($D115="",2026,$D115),IF(N$3=12,0.1*$G115,""),IF(2026-N$4&lt;$C115,"",N$4*$G115))</f>
        <v>28756.000000000004</v>
      </c>
      <c r="O115" s="19">
        <f>IF(2026-O$3&gt;IF($D115="",2026,$D115),IF(O$3=12,0.1*$G115,""),IF(2026-O$4&lt;$C115,"",O$4*$G115))</f>
        <v>34918</v>
      </c>
      <c r="P115" s="19">
        <f>IF(2026-P$3&gt;IF($D115="",2026,$D115),IF(P$3=12,0.1*$G115,""),IF(2026-P$4&lt;$C115,"",P$4*$G115))</f>
        <v>40053</v>
      </c>
      <c r="Q115" s="19">
        <f>IF(2026-Q$3&gt;IF($D115="",2026,$D115),IF(Q$3=12,0.1*$G115,""),IF(2026-Q$4&lt;$C115,"",Q$4*$G115))</f>
        <v>48269</v>
      </c>
      <c r="R115" s="19">
        <f>IF(2026-R$3&gt;IF($D115="",2026,$D115),IF(R$3=12,0.1*$G115,""),IF(2026-R$4&lt;$C115,"",R$4*$G115))</f>
        <v>57512.000000000007</v>
      </c>
      <c r="S115" s="19">
        <f>IF(2026-S$3&gt;IF($D115="",2026,$D115),IF(S$3=12,0.1*$G115,""),IF(2026-S$4&lt;$C115,"",S$4*$G115))</f>
        <v>68809</v>
      </c>
      <c r="T115" s="19">
        <f>IF(2026-T$3&gt;IF($D115="",2026,$D115),IF(T$3=12,0.1*$G115,""),IF(2026-T$4&lt;$C115,"",T$4*$G115))</f>
        <v>86268</v>
      </c>
    </row>
    <row r="116" spans="1:20" s="18" customFormat="1" ht="12" customHeight="1" x14ac:dyDescent="0.2">
      <c r="A116" s="17"/>
      <c r="B116" s="16" t="s">
        <v>321</v>
      </c>
      <c r="C116" s="13">
        <v>2015</v>
      </c>
      <c r="D116" s="13"/>
      <c r="E116" s="13">
        <v>2981</v>
      </c>
      <c r="F116" s="13">
        <v>370</v>
      </c>
      <c r="G116" s="21">
        <v>108000</v>
      </c>
      <c r="H116" s="20"/>
      <c r="I116" s="19">
        <f>IF(2026-I$3&gt;IF($D116="",2026,$D116),IF(I$3=12,0.1*$G116,""),IF(2026-I$4&lt;$C116,"",I$4*$G116))</f>
        <v>10800</v>
      </c>
      <c r="J116" s="19">
        <f>IF(2026-J$3&gt;IF($D116="",2026,$D116),IF(J$3=12,0.1*$G116,""),IF(2026-J$4&lt;$C116,"",J$4*$G116))</f>
        <v>14040</v>
      </c>
      <c r="K116" s="19">
        <f>IF(2026-K$3&gt;IF($D116="",2026,$D116),IF(K$3=12,0.1*$G116,""),IF(2026-K$4&lt;$C116,"",K$4*$G116))</f>
        <v>18360</v>
      </c>
      <c r="L116" s="19">
        <f>IF(2026-L$3&gt;IF($D116="",2026,$D116),IF(L$3=12,0.1*$G116,""),IF(2026-L$4&lt;$C116,"",L$4*$G116))</f>
        <v>20520</v>
      </c>
      <c r="M116" s="19">
        <f>IF(2026-M$3&gt;IF($D116="",2026,$D116),IF(M$3=12,0.1*$G116,""),IF(2026-M$4&lt;$C116,"",M$4*$G116))</f>
        <v>25920</v>
      </c>
      <c r="N116" s="19">
        <f>IF(2026-N$3&gt;IF($D116="",2026,$D116),IF(N$3=12,0.1*$G116,""),IF(2026-N$4&lt;$C116,"",N$4*$G116))</f>
        <v>30240.000000000004</v>
      </c>
      <c r="O116" s="19">
        <f>IF(2026-O$3&gt;IF($D116="",2026,$D116),IF(O$3=12,0.1*$G116,""),IF(2026-O$4&lt;$C116,"",O$4*$G116))</f>
        <v>36720</v>
      </c>
      <c r="P116" s="19">
        <f>IF(2026-P$3&gt;IF($D116="",2026,$D116),IF(P$3=12,0.1*$G116,""),IF(2026-P$4&lt;$C116,"",P$4*$G116))</f>
        <v>42120</v>
      </c>
      <c r="Q116" s="19">
        <f>IF(2026-Q$3&gt;IF($D116="",2026,$D116),IF(Q$3=12,0.1*$G116,""),IF(2026-Q$4&lt;$C116,"",Q$4*$G116))</f>
        <v>50760</v>
      </c>
      <c r="R116" s="19">
        <f>IF(2026-R$3&gt;IF($D116="",2026,$D116),IF(R$3=12,0.1*$G116,""),IF(2026-R$4&lt;$C116,"",R$4*$G116))</f>
        <v>60480.000000000007</v>
      </c>
      <c r="S116" s="19">
        <f>IF(2026-S$3&gt;IF($D116="",2026,$D116),IF(S$3=12,0.1*$G116,""),IF(2026-S$4&lt;$C116,"",S$4*$G116))</f>
        <v>72360</v>
      </c>
      <c r="T116" s="19">
        <f>IF(2026-T$3&gt;IF($D116="",2026,$D116),IF(T$3=12,0.1*$G116,""),IF(2026-T$4&lt;$C116,"",T$4*$G116))</f>
        <v>90720</v>
      </c>
    </row>
    <row r="117" spans="1:20" s="18" customFormat="1" ht="12" customHeight="1" x14ac:dyDescent="0.2">
      <c r="A117" s="17"/>
      <c r="B117" s="16" t="s">
        <v>320</v>
      </c>
      <c r="C117" s="13">
        <v>2015</v>
      </c>
      <c r="D117" s="13"/>
      <c r="E117" s="13">
        <v>2981</v>
      </c>
      <c r="F117" s="13">
        <v>370</v>
      </c>
      <c r="G117" s="21">
        <v>95700</v>
      </c>
      <c r="H117" s="20"/>
      <c r="I117" s="19">
        <f>IF(2026-I$3&gt;IF($D117="",2026,$D117),IF(I$3=12,0.1*$G117,""),IF(2026-I$4&lt;$C117,"",I$4*$G117))</f>
        <v>9570</v>
      </c>
      <c r="J117" s="19">
        <f>IF(2026-J$3&gt;IF($D117="",2026,$D117),IF(J$3=12,0.1*$G117,""),IF(2026-J$4&lt;$C117,"",J$4*$G117))</f>
        <v>12441</v>
      </c>
      <c r="K117" s="19">
        <f>IF(2026-K$3&gt;IF($D117="",2026,$D117),IF(K$3=12,0.1*$G117,""),IF(2026-K$4&lt;$C117,"",K$4*$G117))</f>
        <v>16269.000000000002</v>
      </c>
      <c r="L117" s="19">
        <f>IF(2026-L$3&gt;IF($D117="",2026,$D117),IF(L$3=12,0.1*$G117,""),IF(2026-L$4&lt;$C117,"",L$4*$G117))</f>
        <v>18183</v>
      </c>
      <c r="M117" s="19">
        <f>IF(2026-M$3&gt;IF($D117="",2026,$D117),IF(M$3=12,0.1*$G117,""),IF(2026-M$4&lt;$C117,"",M$4*$G117))</f>
        <v>22968</v>
      </c>
      <c r="N117" s="19">
        <f>IF(2026-N$3&gt;IF($D117="",2026,$D117),IF(N$3=12,0.1*$G117,""),IF(2026-N$4&lt;$C117,"",N$4*$G117))</f>
        <v>26796.000000000004</v>
      </c>
      <c r="O117" s="19">
        <f>IF(2026-O$3&gt;IF($D117="",2026,$D117),IF(O$3=12,0.1*$G117,""),IF(2026-O$4&lt;$C117,"",O$4*$G117))</f>
        <v>32538.000000000004</v>
      </c>
      <c r="P117" s="19">
        <f>IF(2026-P$3&gt;IF($D117="",2026,$D117),IF(P$3=12,0.1*$G117,""),IF(2026-P$4&lt;$C117,"",P$4*$G117))</f>
        <v>37323</v>
      </c>
      <c r="Q117" s="19">
        <f>IF(2026-Q$3&gt;IF($D117="",2026,$D117),IF(Q$3=12,0.1*$G117,""),IF(2026-Q$4&lt;$C117,"",Q$4*$G117))</f>
        <v>44979</v>
      </c>
      <c r="R117" s="19">
        <f>IF(2026-R$3&gt;IF($D117="",2026,$D117),IF(R$3=12,0.1*$G117,""),IF(2026-R$4&lt;$C117,"",R$4*$G117))</f>
        <v>53592.000000000007</v>
      </c>
      <c r="S117" s="19">
        <f>IF(2026-S$3&gt;IF($D117="",2026,$D117),IF(S$3=12,0.1*$G117,""),IF(2026-S$4&lt;$C117,"",S$4*$G117))</f>
        <v>64119.000000000007</v>
      </c>
      <c r="T117" s="19">
        <f>IF(2026-T$3&gt;IF($D117="",2026,$D117),IF(T$3=12,0.1*$G117,""),IF(2026-T$4&lt;$C117,"",T$4*$G117))</f>
        <v>80388</v>
      </c>
    </row>
    <row r="118" spans="1:20" s="18" customFormat="1" ht="12" customHeight="1" x14ac:dyDescent="0.2">
      <c r="A118" s="17"/>
      <c r="B118" s="16" t="s">
        <v>319</v>
      </c>
      <c r="C118" s="13">
        <v>2015</v>
      </c>
      <c r="D118" s="13"/>
      <c r="E118" s="13">
        <v>2981</v>
      </c>
      <c r="F118" s="13">
        <v>370</v>
      </c>
      <c r="G118" s="21">
        <v>115000</v>
      </c>
      <c r="H118" s="20"/>
      <c r="I118" s="19">
        <f>IF(2026-I$3&gt;IF($D118="",2026,$D118),IF(I$3=12,0.1*$G118,""),IF(2026-I$4&lt;$C118,"",I$4*$G118))</f>
        <v>11500</v>
      </c>
      <c r="J118" s="19">
        <f>IF(2026-J$3&gt;IF($D118="",2026,$D118),IF(J$3=12,0.1*$G118,""),IF(2026-J$4&lt;$C118,"",J$4*$G118))</f>
        <v>14950</v>
      </c>
      <c r="K118" s="19">
        <f>IF(2026-K$3&gt;IF($D118="",2026,$D118),IF(K$3=12,0.1*$G118,""),IF(2026-K$4&lt;$C118,"",K$4*$G118))</f>
        <v>19550</v>
      </c>
      <c r="L118" s="19">
        <f>IF(2026-L$3&gt;IF($D118="",2026,$D118),IF(L$3=12,0.1*$G118,""),IF(2026-L$4&lt;$C118,"",L$4*$G118))</f>
        <v>21850</v>
      </c>
      <c r="M118" s="19">
        <f>IF(2026-M$3&gt;IF($D118="",2026,$D118),IF(M$3=12,0.1*$G118,""),IF(2026-M$4&lt;$C118,"",M$4*$G118))</f>
        <v>27600</v>
      </c>
      <c r="N118" s="19">
        <f>IF(2026-N$3&gt;IF($D118="",2026,$D118),IF(N$3=12,0.1*$G118,""),IF(2026-N$4&lt;$C118,"",N$4*$G118))</f>
        <v>32200.000000000004</v>
      </c>
      <c r="O118" s="19">
        <f>IF(2026-O$3&gt;IF($D118="",2026,$D118),IF(O$3=12,0.1*$G118,""),IF(2026-O$4&lt;$C118,"",O$4*$G118))</f>
        <v>39100</v>
      </c>
      <c r="P118" s="19">
        <f>IF(2026-P$3&gt;IF($D118="",2026,$D118),IF(P$3=12,0.1*$G118,""),IF(2026-P$4&lt;$C118,"",P$4*$G118))</f>
        <v>44850</v>
      </c>
      <c r="Q118" s="19">
        <f>IF(2026-Q$3&gt;IF($D118="",2026,$D118),IF(Q$3=12,0.1*$G118,""),IF(2026-Q$4&lt;$C118,"",Q$4*$G118))</f>
        <v>54050</v>
      </c>
      <c r="R118" s="19">
        <f>IF(2026-R$3&gt;IF($D118="",2026,$D118),IF(R$3=12,0.1*$G118,""),IF(2026-R$4&lt;$C118,"",R$4*$G118))</f>
        <v>64400.000000000007</v>
      </c>
      <c r="S118" s="19">
        <f>IF(2026-S$3&gt;IF($D118="",2026,$D118),IF(S$3=12,0.1*$G118,""),IF(2026-S$4&lt;$C118,"",S$4*$G118))</f>
        <v>77050</v>
      </c>
      <c r="T118" s="19">
        <f>IF(2026-T$3&gt;IF($D118="",2026,$D118),IF(T$3=12,0.1*$G118,""),IF(2026-T$4&lt;$C118,"",T$4*$G118))</f>
        <v>96600</v>
      </c>
    </row>
    <row r="119" spans="1:20" s="18" customFormat="1" ht="12" customHeight="1" x14ac:dyDescent="0.2">
      <c r="A119" s="17"/>
      <c r="B119" s="16" t="s">
        <v>318</v>
      </c>
      <c r="C119" s="13">
        <v>2015</v>
      </c>
      <c r="D119" s="13"/>
      <c r="E119" s="13">
        <v>2981</v>
      </c>
      <c r="F119" s="13">
        <v>420</v>
      </c>
      <c r="G119" s="21">
        <v>129800</v>
      </c>
      <c r="H119" s="20"/>
      <c r="I119" s="19">
        <f>IF(2026-I$3&gt;IF($D119="",2026,$D119),IF(I$3=12,0.1*$G119,""),IF(2026-I$4&lt;$C119,"",I$4*$G119))</f>
        <v>12980</v>
      </c>
      <c r="J119" s="19">
        <f>IF(2026-J$3&gt;IF($D119="",2026,$D119),IF(J$3=12,0.1*$G119,""),IF(2026-J$4&lt;$C119,"",J$4*$G119))</f>
        <v>16874</v>
      </c>
      <c r="K119" s="19">
        <f>IF(2026-K$3&gt;IF($D119="",2026,$D119),IF(K$3=12,0.1*$G119,""),IF(2026-K$4&lt;$C119,"",K$4*$G119))</f>
        <v>22066</v>
      </c>
      <c r="L119" s="19">
        <f>IF(2026-L$3&gt;IF($D119="",2026,$D119),IF(L$3=12,0.1*$G119,""),IF(2026-L$4&lt;$C119,"",L$4*$G119))</f>
        <v>24662</v>
      </c>
      <c r="M119" s="19">
        <f>IF(2026-M$3&gt;IF($D119="",2026,$D119),IF(M$3=12,0.1*$G119,""),IF(2026-M$4&lt;$C119,"",M$4*$G119))</f>
        <v>31152</v>
      </c>
      <c r="N119" s="19">
        <f>IF(2026-N$3&gt;IF($D119="",2026,$D119),IF(N$3=12,0.1*$G119,""),IF(2026-N$4&lt;$C119,"",N$4*$G119))</f>
        <v>36344</v>
      </c>
      <c r="O119" s="19">
        <f>IF(2026-O$3&gt;IF($D119="",2026,$D119),IF(O$3=12,0.1*$G119,""),IF(2026-O$4&lt;$C119,"",O$4*$G119))</f>
        <v>44132</v>
      </c>
      <c r="P119" s="19">
        <f>IF(2026-P$3&gt;IF($D119="",2026,$D119),IF(P$3=12,0.1*$G119,""),IF(2026-P$4&lt;$C119,"",P$4*$G119))</f>
        <v>50622</v>
      </c>
      <c r="Q119" s="19">
        <f>IF(2026-Q$3&gt;IF($D119="",2026,$D119),IF(Q$3=12,0.1*$G119,""),IF(2026-Q$4&lt;$C119,"",Q$4*$G119))</f>
        <v>61006</v>
      </c>
      <c r="R119" s="19">
        <f>IF(2026-R$3&gt;IF($D119="",2026,$D119),IF(R$3=12,0.1*$G119,""),IF(2026-R$4&lt;$C119,"",R$4*$G119))</f>
        <v>72688</v>
      </c>
      <c r="S119" s="19">
        <f>IF(2026-S$3&gt;IF($D119="",2026,$D119),IF(S$3=12,0.1*$G119,""),IF(2026-S$4&lt;$C119,"",S$4*$G119))</f>
        <v>86966</v>
      </c>
      <c r="T119" s="19">
        <f>IF(2026-T$3&gt;IF($D119="",2026,$D119),IF(T$3=12,0.1*$G119,""),IF(2026-T$4&lt;$C119,"",T$4*$G119))</f>
        <v>109032</v>
      </c>
    </row>
    <row r="120" spans="1:20" s="18" customFormat="1" ht="12" customHeight="1" x14ac:dyDescent="0.2">
      <c r="A120" s="17"/>
      <c r="B120" s="16" t="s">
        <v>317</v>
      </c>
      <c r="C120" s="13">
        <v>2015</v>
      </c>
      <c r="D120" s="13"/>
      <c r="E120" s="13">
        <v>2981</v>
      </c>
      <c r="F120" s="13">
        <v>420</v>
      </c>
      <c r="G120" s="21">
        <v>128400</v>
      </c>
      <c r="H120" s="20"/>
      <c r="I120" s="19">
        <f>IF(2026-I$3&gt;IF($D120="",2026,$D120),IF(I$3=12,0.1*$G120,""),IF(2026-I$4&lt;$C120,"",I$4*$G120))</f>
        <v>12840</v>
      </c>
      <c r="J120" s="19">
        <f>IF(2026-J$3&gt;IF($D120="",2026,$D120),IF(J$3=12,0.1*$G120,""),IF(2026-J$4&lt;$C120,"",J$4*$G120))</f>
        <v>16692</v>
      </c>
      <c r="K120" s="19">
        <f>IF(2026-K$3&gt;IF($D120="",2026,$D120),IF(K$3=12,0.1*$G120,""),IF(2026-K$4&lt;$C120,"",K$4*$G120))</f>
        <v>21828</v>
      </c>
      <c r="L120" s="19">
        <f>IF(2026-L$3&gt;IF($D120="",2026,$D120),IF(L$3=12,0.1*$G120,""),IF(2026-L$4&lt;$C120,"",L$4*$G120))</f>
        <v>24396</v>
      </c>
      <c r="M120" s="19">
        <f>IF(2026-M$3&gt;IF($D120="",2026,$D120),IF(M$3=12,0.1*$G120,""),IF(2026-M$4&lt;$C120,"",M$4*$G120))</f>
        <v>30816</v>
      </c>
      <c r="N120" s="19">
        <f>IF(2026-N$3&gt;IF($D120="",2026,$D120),IF(N$3=12,0.1*$G120,""),IF(2026-N$4&lt;$C120,"",N$4*$G120))</f>
        <v>35952</v>
      </c>
      <c r="O120" s="19">
        <f>IF(2026-O$3&gt;IF($D120="",2026,$D120),IF(O$3=12,0.1*$G120,""),IF(2026-O$4&lt;$C120,"",O$4*$G120))</f>
        <v>43656</v>
      </c>
      <c r="P120" s="19">
        <f>IF(2026-P$3&gt;IF($D120="",2026,$D120),IF(P$3=12,0.1*$G120,""),IF(2026-P$4&lt;$C120,"",P$4*$G120))</f>
        <v>50076</v>
      </c>
      <c r="Q120" s="19">
        <f>IF(2026-Q$3&gt;IF($D120="",2026,$D120),IF(Q$3=12,0.1*$G120,""),IF(2026-Q$4&lt;$C120,"",Q$4*$G120))</f>
        <v>60348</v>
      </c>
      <c r="R120" s="19">
        <f>IF(2026-R$3&gt;IF($D120="",2026,$D120),IF(R$3=12,0.1*$G120,""),IF(2026-R$4&lt;$C120,"",R$4*$G120))</f>
        <v>71904</v>
      </c>
      <c r="S120" s="19">
        <f>IF(2026-S$3&gt;IF($D120="",2026,$D120),IF(S$3=12,0.1*$G120,""),IF(2026-S$4&lt;$C120,"",S$4*$G120))</f>
        <v>86028</v>
      </c>
      <c r="T120" s="19">
        <f>IF(2026-T$3&gt;IF($D120="",2026,$D120),IF(T$3=12,0.1*$G120,""),IF(2026-T$4&lt;$C120,"",T$4*$G120))</f>
        <v>107856</v>
      </c>
    </row>
    <row r="121" spans="1:20" s="18" customFormat="1" ht="12" customHeight="1" x14ac:dyDescent="0.2">
      <c r="A121" s="17"/>
      <c r="B121" s="16" t="s">
        <v>316</v>
      </c>
      <c r="C121" s="13">
        <v>2015</v>
      </c>
      <c r="D121" s="13"/>
      <c r="E121" s="13">
        <v>2981</v>
      </c>
      <c r="F121" s="13">
        <v>420</v>
      </c>
      <c r="G121" s="21">
        <v>117100</v>
      </c>
      <c r="H121" s="20"/>
      <c r="I121" s="19">
        <f>IF(2026-I$3&gt;IF($D121="",2026,$D121),IF(I$3=12,0.1*$G121,""),IF(2026-I$4&lt;$C121,"",I$4*$G121))</f>
        <v>11710</v>
      </c>
      <c r="J121" s="19">
        <f>IF(2026-J$3&gt;IF($D121="",2026,$D121),IF(J$3=12,0.1*$G121,""),IF(2026-J$4&lt;$C121,"",J$4*$G121))</f>
        <v>15223</v>
      </c>
      <c r="K121" s="19">
        <f>IF(2026-K$3&gt;IF($D121="",2026,$D121),IF(K$3=12,0.1*$G121,""),IF(2026-K$4&lt;$C121,"",K$4*$G121))</f>
        <v>19907</v>
      </c>
      <c r="L121" s="19">
        <f>IF(2026-L$3&gt;IF($D121="",2026,$D121),IF(L$3=12,0.1*$G121,""),IF(2026-L$4&lt;$C121,"",L$4*$G121))</f>
        <v>22249</v>
      </c>
      <c r="M121" s="19">
        <f>IF(2026-M$3&gt;IF($D121="",2026,$D121),IF(M$3=12,0.1*$G121,""),IF(2026-M$4&lt;$C121,"",M$4*$G121))</f>
        <v>28104</v>
      </c>
      <c r="N121" s="19">
        <f>IF(2026-N$3&gt;IF($D121="",2026,$D121),IF(N$3=12,0.1*$G121,""),IF(2026-N$4&lt;$C121,"",N$4*$G121))</f>
        <v>32788</v>
      </c>
      <c r="O121" s="19">
        <f>IF(2026-O$3&gt;IF($D121="",2026,$D121),IF(O$3=12,0.1*$G121,""),IF(2026-O$4&lt;$C121,"",O$4*$G121))</f>
        <v>39814</v>
      </c>
      <c r="P121" s="19">
        <f>IF(2026-P$3&gt;IF($D121="",2026,$D121),IF(P$3=12,0.1*$G121,""),IF(2026-P$4&lt;$C121,"",P$4*$G121))</f>
        <v>45669</v>
      </c>
      <c r="Q121" s="19">
        <f>IF(2026-Q$3&gt;IF($D121="",2026,$D121),IF(Q$3=12,0.1*$G121,""),IF(2026-Q$4&lt;$C121,"",Q$4*$G121))</f>
        <v>55037</v>
      </c>
      <c r="R121" s="19">
        <f>IF(2026-R$3&gt;IF($D121="",2026,$D121),IF(R$3=12,0.1*$G121,""),IF(2026-R$4&lt;$C121,"",R$4*$G121))</f>
        <v>65576</v>
      </c>
      <c r="S121" s="19">
        <f>IF(2026-S$3&gt;IF($D121="",2026,$D121),IF(S$3=12,0.1*$G121,""),IF(2026-S$4&lt;$C121,"",S$4*$G121))</f>
        <v>78457</v>
      </c>
      <c r="T121" s="19">
        <f>IF(2026-T$3&gt;IF($D121="",2026,$D121),IF(T$3=12,0.1*$G121,""),IF(2026-T$4&lt;$C121,"",T$4*$G121))</f>
        <v>98364</v>
      </c>
    </row>
    <row r="122" spans="1:20" s="18" customFormat="1" ht="12" customHeight="1" x14ac:dyDescent="0.2">
      <c r="A122" s="17"/>
      <c r="B122" s="16" t="s">
        <v>315</v>
      </c>
      <c r="C122" s="13">
        <v>2015</v>
      </c>
      <c r="D122" s="13"/>
      <c r="E122" s="13">
        <v>2981</v>
      </c>
      <c r="F122" s="13">
        <v>420</v>
      </c>
      <c r="G122" s="21">
        <v>115900</v>
      </c>
      <c r="H122" s="20"/>
      <c r="I122" s="19">
        <f>IF(2026-I$3&gt;IF($D122="",2026,$D122),IF(I$3=12,0.1*$G122,""),IF(2026-I$4&lt;$C122,"",I$4*$G122))</f>
        <v>11590</v>
      </c>
      <c r="J122" s="19">
        <f>IF(2026-J$3&gt;IF($D122="",2026,$D122),IF(J$3=12,0.1*$G122,""),IF(2026-J$4&lt;$C122,"",J$4*$G122))</f>
        <v>15067</v>
      </c>
      <c r="K122" s="19">
        <f>IF(2026-K$3&gt;IF($D122="",2026,$D122),IF(K$3=12,0.1*$G122,""),IF(2026-K$4&lt;$C122,"",K$4*$G122))</f>
        <v>19703</v>
      </c>
      <c r="L122" s="19">
        <f>IF(2026-L$3&gt;IF($D122="",2026,$D122),IF(L$3=12,0.1*$G122,""),IF(2026-L$4&lt;$C122,"",L$4*$G122))</f>
        <v>22021</v>
      </c>
      <c r="M122" s="19">
        <f>IF(2026-M$3&gt;IF($D122="",2026,$D122),IF(M$3=12,0.1*$G122,""),IF(2026-M$4&lt;$C122,"",M$4*$G122))</f>
        <v>27816</v>
      </c>
      <c r="N122" s="19">
        <f>IF(2026-N$3&gt;IF($D122="",2026,$D122),IF(N$3=12,0.1*$G122,""),IF(2026-N$4&lt;$C122,"",N$4*$G122))</f>
        <v>32452.000000000004</v>
      </c>
      <c r="O122" s="19">
        <f>IF(2026-O$3&gt;IF($D122="",2026,$D122),IF(O$3=12,0.1*$G122,""),IF(2026-O$4&lt;$C122,"",O$4*$G122))</f>
        <v>39406</v>
      </c>
      <c r="P122" s="19">
        <f>IF(2026-P$3&gt;IF($D122="",2026,$D122),IF(P$3=12,0.1*$G122,""),IF(2026-P$4&lt;$C122,"",P$4*$G122))</f>
        <v>45201</v>
      </c>
      <c r="Q122" s="19">
        <f>IF(2026-Q$3&gt;IF($D122="",2026,$D122),IF(Q$3=12,0.1*$G122,""),IF(2026-Q$4&lt;$C122,"",Q$4*$G122))</f>
        <v>54473</v>
      </c>
      <c r="R122" s="19">
        <f>IF(2026-R$3&gt;IF($D122="",2026,$D122),IF(R$3=12,0.1*$G122,""),IF(2026-R$4&lt;$C122,"",R$4*$G122))</f>
        <v>64904.000000000007</v>
      </c>
      <c r="S122" s="19">
        <f>IF(2026-S$3&gt;IF($D122="",2026,$D122),IF(S$3=12,0.1*$G122,""),IF(2026-S$4&lt;$C122,"",S$4*$G122))</f>
        <v>77653</v>
      </c>
      <c r="T122" s="19">
        <f>IF(2026-T$3&gt;IF($D122="",2026,$D122),IF(T$3=12,0.1*$G122,""),IF(2026-T$4&lt;$C122,"",T$4*$G122))</f>
        <v>97356</v>
      </c>
    </row>
    <row r="123" spans="1:20" s="18" customFormat="1" ht="12" customHeight="1" x14ac:dyDescent="0.2">
      <c r="A123" s="17"/>
      <c r="B123" s="16" t="s">
        <v>314</v>
      </c>
      <c r="C123" s="13">
        <v>2015</v>
      </c>
      <c r="D123" s="13"/>
      <c r="E123" s="13">
        <v>2981</v>
      </c>
      <c r="F123" s="13">
        <v>420</v>
      </c>
      <c r="G123" s="21">
        <v>122600</v>
      </c>
      <c r="H123" s="20"/>
      <c r="I123" s="19">
        <f>IF(2026-I$3&gt;IF($D123="",2026,$D123),IF(I$3=12,0.1*$G123,""),IF(2026-I$4&lt;$C123,"",I$4*$G123))</f>
        <v>12260</v>
      </c>
      <c r="J123" s="19">
        <f>IF(2026-J$3&gt;IF($D123="",2026,$D123),IF(J$3=12,0.1*$G123,""),IF(2026-J$4&lt;$C123,"",J$4*$G123))</f>
        <v>15938</v>
      </c>
      <c r="K123" s="19">
        <f>IF(2026-K$3&gt;IF($D123="",2026,$D123),IF(K$3=12,0.1*$G123,""),IF(2026-K$4&lt;$C123,"",K$4*$G123))</f>
        <v>20842</v>
      </c>
      <c r="L123" s="19">
        <f>IF(2026-L$3&gt;IF($D123="",2026,$D123),IF(L$3=12,0.1*$G123,""),IF(2026-L$4&lt;$C123,"",L$4*$G123))</f>
        <v>23294</v>
      </c>
      <c r="M123" s="19">
        <f>IF(2026-M$3&gt;IF($D123="",2026,$D123),IF(M$3=12,0.1*$G123,""),IF(2026-M$4&lt;$C123,"",M$4*$G123))</f>
        <v>29424</v>
      </c>
      <c r="N123" s="19">
        <f>IF(2026-N$3&gt;IF($D123="",2026,$D123),IF(N$3=12,0.1*$G123,""),IF(2026-N$4&lt;$C123,"",N$4*$G123))</f>
        <v>34328</v>
      </c>
      <c r="O123" s="19">
        <f>IF(2026-O$3&gt;IF($D123="",2026,$D123),IF(O$3=12,0.1*$G123,""),IF(2026-O$4&lt;$C123,"",O$4*$G123))</f>
        <v>41684</v>
      </c>
      <c r="P123" s="19">
        <f>IF(2026-P$3&gt;IF($D123="",2026,$D123),IF(P$3=12,0.1*$G123,""),IF(2026-P$4&lt;$C123,"",P$4*$G123))</f>
        <v>47814</v>
      </c>
      <c r="Q123" s="19">
        <f>IF(2026-Q$3&gt;IF($D123="",2026,$D123),IF(Q$3=12,0.1*$G123,""),IF(2026-Q$4&lt;$C123,"",Q$4*$G123))</f>
        <v>57622</v>
      </c>
      <c r="R123" s="19">
        <f>IF(2026-R$3&gt;IF($D123="",2026,$D123),IF(R$3=12,0.1*$G123,""),IF(2026-R$4&lt;$C123,"",R$4*$G123))</f>
        <v>68656</v>
      </c>
      <c r="S123" s="19">
        <f>IF(2026-S$3&gt;IF($D123="",2026,$D123),IF(S$3=12,0.1*$G123,""),IF(2026-S$4&lt;$C123,"",S$4*$G123))</f>
        <v>82142</v>
      </c>
      <c r="T123" s="19">
        <f>IF(2026-T$3&gt;IF($D123="",2026,$D123),IF(T$3=12,0.1*$G123,""),IF(2026-T$4&lt;$C123,"",T$4*$G123))</f>
        <v>102984</v>
      </c>
    </row>
    <row r="124" spans="1:20" s="18" customFormat="1" ht="12" customHeight="1" x14ac:dyDescent="0.2">
      <c r="A124" s="17"/>
      <c r="B124" s="16" t="s">
        <v>313</v>
      </c>
      <c r="C124" s="13">
        <v>2015</v>
      </c>
      <c r="D124" s="13"/>
      <c r="E124" s="13">
        <v>2981</v>
      </c>
      <c r="F124" s="13">
        <v>420</v>
      </c>
      <c r="G124" s="21">
        <v>121500</v>
      </c>
      <c r="H124" s="20"/>
      <c r="I124" s="19">
        <f>IF(2026-I$3&gt;IF($D124="",2026,$D124),IF(I$3=12,0.1*$G124,""),IF(2026-I$4&lt;$C124,"",I$4*$G124))</f>
        <v>12150</v>
      </c>
      <c r="J124" s="19">
        <f>IF(2026-J$3&gt;IF($D124="",2026,$D124),IF(J$3=12,0.1*$G124,""),IF(2026-J$4&lt;$C124,"",J$4*$G124))</f>
        <v>15795</v>
      </c>
      <c r="K124" s="19">
        <f>IF(2026-K$3&gt;IF($D124="",2026,$D124),IF(K$3=12,0.1*$G124,""),IF(2026-K$4&lt;$C124,"",K$4*$G124))</f>
        <v>20655</v>
      </c>
      <c r="L124" s="19">
        <f>IF(2026-L$3&gt;IF($D124="",2026,$D124),IF(L$3=12,0.1*$G124,""),IF(2026-L$4&lt;$C124,"",L$4*$G124))</f>
        <v>23085</v>
      </c>
      <c r="M124" s="19">
        <f>IF(2026-M$3&gt;IF($D124="",2026,$D124),IF(M$3=12,0.1*$G124,""),IF(2026-M$4&lt;$C124,"",M$4*$G124))</f>
        <v>29160</v>
      </c>
      <c r="N124" s="19">
        <f>IF(2026-N$3&gt;IF($D124="",2026,$D124),IF(N$3=12,0.1*$G124,""),IF(2026-N$4&lt;$C124,"",N$4*$G124))</f>
        <v>34020</v>
      </c>
      <c r="O124" s="19">
        <f>IF(2026-O$3&gt;IF($D124="",2026,$D124),IF(O$3=12,0.1*$G124,""),IF(2026-O$4&lt;$C124,"",O$4*$G124))</f>
        <v>41310</v>
      </c>
      <c r="P124" s="19">
        <f>IF(2026-P$3&gt;IF($D124="",2026,$D124),IF(P$3=12,0.1*$G124,""),IF(2026-P$4&lt;$C124,"",P$4*$G124))</f>
        <v>47385</v>
      </c>
      <c r="Q124" s="19">
        <f>IF(2026-Q$3&gt;IF($D124="",2026,$D124),IF(Q$3=12,0.1*$G124,""),IF(2026-Q$4&lt;$C124,"",Q$4*$G124))</f>
        <v>57105</v>
      </c>
      <c r="R124" s="19">
        <f>IF(2026-R$3&gt;IF($D124="",2026,$D124),IF(R$3=12,0.1*$G124,""),IF(2026-R$4&lt;$C124,"",R$4*$G124))</f>
        <v>68040</v>
      </c>
      <c r="S124" s="19">
        <f>IF(2026-S$3&gt;IF($D124="",2026,$D124),IF(S$3=12,0.1*$G124,""),IF(2026-S$4&lt;$C124,"",S$4*$G124))</f>
        <v>81405</v>
      </c>
      <c r="T124" s="19">
        <f>IF(2026-T$3&gt;IF($D124="",2026,$D124),IF(T$3=12,0.1*$G124,""),IF(2026-T$4&lt;$C124,"",T$4*$G124))</f>
        <v>102060</v>
      </c>
    </row>
    <row r="125" spans="1:20" s="18" customFormat="1" ht="12" customHeight="1" x14ac:dyDescent="0.2">
      <c r="A125" s="17"/>
      <c r="B125" s="16" t="s">
        <v>312</v>
      </c>
      <c r="C125" s="13">
        <v>2015</v>
      </c>
      <c r="D125" s="13"/>
      <c r="E125" s="13">
        <v>2981</v>
      </c>
      <c r="F125" s="13">
        <v>420</v>
      </c>
      <c r="G125" s="21">
        <v>105900</v>
      </c>
      <c r="H125" s="20"/>
      <c r="I125" s="19">
        <f>IF(2026-I$3&gt;IF($D125="",2026,$D125),IF(I$3=12,0.1*$G125,""),IF(2026-I$4&lt;$C125,"",I$4*$G125))</f>
        <v>10590</v>
      </c>
      <c r="J125" s="19">
        <f>IF(2026-J$3&gt;IF($D125="",2026,$D125),IF(J$3=12,0.1*$G125,""),IF(2026-J$4&lt;$C125,"",J$4*$G125))</f>
        <v>13767</v>
      </c>
      <c r="K125" s="19">
        <f>IF(2026-K$3&gt;IF($D125="",2026,$D125),IF(K$3=12,0.1*$G125,""),IF(2026-K$4&lt;$C125,"",K$4*$G125))</f>
        <v>18003</v>
      </c>
      <c r="L125" s="19">
        <f>IF(2026-L$3&gt;IF($D125="",2026,$D125),IF(L$3=12,0.1*$G125,""),IF(2026-L$4&lt;$C125,"",L$4*$G125))</f>
        <v>20121</v>
      </c>
      <c r="M125" s="19">
        <f>IF(2026-M$3&gt;IF($D125="",2026,$D125),IF(M$3=12,0.1*$G125,""),IF(2026-M$4&lt;$C125,"",M$4*$G125))</f>
        <v>25416</v>
      </c>
      <c r="N125" s="19">
        <f>IF(2026-N$3&gt;IF($D125="",2026,$D125),IF(N$3=12,0.1*$G125,""),IF(2026-N$4&lt;$C125,"",N$4*$G125))</f>
        <v>29652.000000000004</v>
      </c>
      <c r="O125" s="19">
        <f>IF(2026-O$3&gt;IF($D125="",2026,$D125),IF(O$3=12,0.1*$G125,""),IF(2026-O$4&lt;$C125,"",O$4*$G125))</f>
        <v>36006</v>
      </c>
      <c r="P125" s="19">
        <f>IF(2026-P$3&gt;IF($D125="",2026,$D125),IF(P$3=12,0.1*$G125,""),IF(2026-P$4&lt;$C125,"",P$4*$G125))</f>
        <v>41301</v>
      </c>
      <c r="Q125" s="19">
        <f>IF(2026-Q$3&gt;IF($D125="",2026,$D125),IF(Q$3=12,0.1*$G125,""),IF(2026-Q$4&lt;$C125,"",Q$4*$G125))</f>
        <v>49773</v>
      </c>
      <c r="R125" s="19">
        <f>IF(2026-R$3&gt;IF($D125="",2026,$D125),IF(R$3=12,0.1*$G125,""),IF(2026-R$4&lt;$C125,"",R$4*$G125))</f>
        <v>59304.000000000007</v>
      </c>
      <c r="S125" s="19">
        <f>IF(2026-S$3&gt;IF($D125="",2026,$D125),IF(S$3=12,0.1*$G125,""),IF(2026-S$4&lt;$C125,"",S$4*$G125))</f>
        <v>70953</v>
      </c>
      <c r="T125" s="19">
        <f>IF(2026-T$3&gt;IF($D125="",2026,$D125),IF(T$3=12,0.1*$G125,""),IF(2026-T$4&lt;$C125,"",T$4*$G125))</f>
        <v>88956</v>
      </c>
    </row>
    <row r="126" spans="1:20" s="18" customFormat="1" ht="12" customHeight="1" x14ac:dyDescent="0.2">
      <c r="A126" s="17"/>
      <c r="B126" s="16" t="s">
        <v>311</v>
      </c>
      <c r="C126" s="13">
        <v>2015</v>
      </c>
      <c r="D126" s="13"/>
      <c r="E126" s="13">
        <v>2981</v>
      </c>
      <c r="F126" s="13">
        <v>420</v>
      </c>
      <c r="G126" s="21">
        <v>109100</v>
      </c>
      <c r="H126" s="20"/>
      <c r="I126" s="19">
        <f>IF(2026-I$3&gt;IF($D126="",2026,$D126),IF(I$3=12,0.1*$G126,""),IF(2026-I$4&lt;$C126,"",I$4*$G126))</f>
        <v>10910</v>
      </c>
      <c r="J126" s="19">
        <f>IF(2026-J$3&gt;IF($D126="",2026,$D126),IF(J$3=12,0.1*$G126,""),IF(2026-J$4&lt;$C126,"",J$4*$G126))</f>
        <v>14183</v>
      </c>
      <c r="K126" s="19">
        <f>IF(2026-K$3&gt;IF($D126="",2026,$D126),IF(K$3=12,0.1*$G126,""),IF(2026-K$4&lt;$C126,"",K$4*$G126))</f>
        <v>18547</v>
      </c>
      <c r="L126" s="19">
        <f>IF(2026-L$3&gt;IF($D126="",2026,$D126),IF(L$3=12,0.1*$G126,""),IF(2026-L$4&lt;$C126,"",L$4*$G126))</f>
        <v>20729</v>
      </c>
      <c r="M126" s="19">
        <f>IF(2026-M$3&gt;IF($D126="",2026,$D126),IF(M$3=12,0.1*$G126,""),IF(2026-M$4&lt;$C126,"",M$4*$G126))</f>
        <v>26184</v>
      </c>
      <c r="N126" s="19">
        <f>IF(2026-N$3&gt;IF($D126="",2026,$D126),IF(N$3=12,0.1*$G126,""),IF(2026-N$4&lt;$C126,"",N$4*$G126))</f>
        <v>30548.000000000004</v>
      </c>
      <c r="O126" s="19">
        <f>IF(2026-O$3&gt;IF($D126="",2026,$D126),IF(O$3=12,0.1*$G126,""),IF(2026-O$4&lt;$C126,"",O$4*$G126))</f>
        <v>37094</v>
      </c>
      <c r="P126" s="19">
        <f>IF(2026-P$3&gt;IF($D126="",2026,$D126),IF(P$3=12,0.1*$G126,""),IF(2026-P$4&lt;$C126,"",P$4*$G126))</f>
        <v>42549</v>
      </c>
      <c r="Q126" s="19">
        <f>IF(2026-Q$3&gt;IF($D126="",2026,$D126),IF(Q$3=12,0.1*$G126,""),IF(2026-Q$4&lt;$C126,"",Q$4*$G126))</f>
        <v>51277</v>
      </c>
      <c r="R126" s="19">
        <f>IF(2026-R$3&gt;IF($D126="",2026,$D126),IF(R$3=12,0.1*$G126,""),IF(2026-R$4&lt;$C126,"",R$4*$G126))</f>
        <v>61096.000000000007</v>
      </c>
      <c r="S126" s="19">
        <f>IF(2026-S$3&gt;IF($D126="",2026,$D126),IF(S$3=12,0.1*$G126,""),IF(2026-S$4&lt;$C126,"",S$4*$G126))</f>
        <v>73097</v>
      </c>
      <c r="T126" s="19">
        <f>IF(2026-T$3&gt;IF($D126="",2026,$D126),IF(T$3=12,0.1*$G126,""),IF(2026-T$4&lt;$C126,"",T$4*$G126))</f>
        <v>91644</v>
      </c>
    </row>
    <row r="127" spans="1:20" s="18" customFormat="1" ht="12" customHeight="1" x14ac:dyDescent="0.2">
      <c r="A127" s="17"/>
      <c r="B127" s="16" t="s">
        <v>310</v>
      </c>
      <c r="C127" s="13">
        <v>2015</v>
      </c>
      <c r="D127" s="13"/>
      <c r="E127" s="13">
        <v>2981</v>
      </c>
      <c r="F127" s="13">
        <v>420</v>
      </c>
      <c r="G127" s="21">
        <v>129800</v>
      </c>
      <c r="H127" s="20"/>
      <c r="I127" s="19">
        <f>IF(2026-I$3&gt;IF($D127="",2026,$D127),IF(I$3=12,0.1*$G127,""),IF(2026-I$4&lt;$C127,"",I$4*$G127))</f>
        <v>12980</v>
      </c>
      <c r="J127" s="19">
        <f>IF(2026-J$3&gt;IF($D127="",2026,$D127),IF(J$3=12,0.1*$G127,""),IF(2026-J$4&lt;$C127,"",J$4*$G127))</f>
        <v>16874</v>
      </c>
      <c r="K127" s="19">
        <f>IF(2026-K$3&gt;IF($D127="",2026,$D127),IF(K$3=12,0.1*$G127,""),IF(2026-K$4&lt;$C127,"",K$4*$G127))</f>
        <v>22066</v>
      </c>
      <c r="L127" s="19">
        <f>IF(2026-L$3&gt;IF($D127="",2026,$D127),IF(L$3=12,0.1*$G127,""),IF(2026-L$4&lt;$C127,"",L$4*$G127))</f>
        <v>24662</v>
      </c>
      <c r="M127" s="19">
        <f>IF(2026-M$3&gt;IF($D127="",2026,$D127),IF(M$3=12,0.1*$G127,""),IF(2026-M$4&lt;$C127,"",M$4*$G127))</f>
        <v>31152</v>
      </c>
      <c r="N127" s="19">
        <f>IF(2026-N$3&gt;IF($D127="",2026,$D127),IF(N$3=12,0.1*$G127,""),IF(2026-N$4&lt;$C127,"",N$4*$G127))</f>
        <v>36344</v>
      </c>
      <c r="O127" s="19">
        <f>IF(2026-O$3&gt;IF($D127="",2026,$D127),IF(O$3=12,0.1*$G127,""),IF(2026-O$4&lt;$C127,"",O$4*$G127))</f>
        <v>44132</v>
      </c>
      <c r="P127" s="19">
        <f>IF(2026-P$3&gt;IF($D127="",2026,$D127),IF(P$3=12,0.1*$G127,""),IF(2026-P$4&lt;$C127,"",P$4*$G127))</f>
        <v>50622</v>
      </c>
      <c r="Q127" s="19">
        <f>IF(2026-Q$3&gt;IF($D127="",2026,$D127),IF(Q$3=12,0.1*$G127,""),IF(2026-Q$4&lt;$C127,"",Q$4*$G127))</f>
        <v>61006</v>
      </c>
      <c r="R127" s="19">
        <f>IF(2026-R$3&gt;IF($D127="",2026,$D127),IF(R$3=12,0.1*$G127,""),IF(2026-R$4&lt;$C127,"",R$4*$G127))</f>
        <v>72688</v>
      </c>
      <c r="S127" s="19">
        <f>IF(2026-S$3&gt;IF($D127="",2026,$D127),IF(S$3=12,0.1*$G127,""),IF(2026-S$4&lt;$C127,"",S$4*$G127))</f>
        <v>86966</v>
      </c>
      <c r="T127" s="19">
        <f>IF(2026-T$3&gt;IF($D127="",2026,$D127),IF(T$3=12,0.1*$G127,""),IF(2026-T$4&lt;$C127,"",T$4*$G127))</f>
        <v>109032</v>
      </c>
    </row>
    <row r="128" spans="1:20" s="18" customFormat="1" ht="12" customHeight="1" x14ac:dyDescent="0.2">
      <c r="A128" s="17"/>
      <c r="B128" s="16" t="s">
        <v>309</v>
      </c>
      <c r="C128" s="13">
        <v>2015</v>
      </c>
      <c r="D128" s="13"/>
      <c r="E128" s="13">
        <v>2981</v>
      </c>
      <c r="F128" s="13">
        <v>420</v>
      </c>
      <c r="G128" s="21">
        <v>128400</v>
      </c>
      <c r="H128" s="20"/>
      <c r="I128" s="19">
        <f>IF(2026-I$3&gt;IF($D128="",2026,$D128),IF(I$3=12,0.1*$G128,""),IF(2026-I$4&lt;$C128,"",I$4*$G128))</f>
        <v>12840</v>
      </c>
      <c r="J128" s="19">
        <f>IF(2026-J$3&gt;IF($D128="",2026,$D128),IF(J$3=12,0.1*$G128,""),IF(2026-J$4&lt;$C128,"",J$4*$G128))</f>
        <v>16692</v>
      </c>
      <c r="K128" s="19">
        <f>IF(2026-K$3&gt;IF($D128="",2026,$D128),IF(K$3=12,0.1*$G128,""),IF(2026-K$4&lt;$C128,"",K$4*$G128))</f>
        <v>21828</v>
      </c>
      <c r="L128" s="19">
        <f>IF(2026-L$3&gt;IF($D128="",2026,$D128),IF(L$3=12,0.1*$G128,""),IF(2026-L$4&lt;$C128,"",L$4*$G128))</f>
        <v>24396</v>
      </c>
      <c r="M128" s="19">
        <f>IF(2026-M$3&gt;IF($D128="",2026,$D128),IF(M$3=12,0.1*$G128,""),IF(2026-M$4&lt;$C128,"",M$4*$G128))</f>
        <v>30816</v>
      </c>
      <c r="N128" s="19">
        <f>IF(2026-N$3&gt;IF($D128="",2026,$D128),IF(N$3=12,0.1*$G128,""),IF(2026-N$4&lt;$C128,"",N$4*$G128))</f>
        <v>35952</v>
      </c>
      <c r="O128" s="19">
        <f>IF(2026-O$3&gt;IF($D128="",2026,$D128),IF(O$3=12,0.1*$G128,""),IF(2026-O$4&lt;$C128,"",O$4*$G128))</f>
        <v>43656</v>
      </c>
      <c r="P128" s="19">
        <f>IF(2026-P$3&gt;IF($D128="",2026,$D128),IF(P$3=12,0.1*$G128,""),IF(2026-P$4&lt;$C128,"",P$4*$G128))</f>
        <v>50076</v>
      </c>
      <c r="Q128" s="19">
        <f>IF(2026-Q$3&gt;IF($D128="",2026,$D128),IF(Q$3=12,0.1*$G128,""),IF(2026-Q$4&lt;$C128,"",Q$4*$G128))</f>
        <v>60348</v>
      </c>
      <c r="R128" s="19">
        <f>IF(2026-R$3&gt;IF($D128="",2026,$D128),IF(R$3=12,0.1*$G128,""),IF(2026-R$4&lt;$C128,"",R$4*$G128))</f>
        <v>71904</v>
      </c>
      <c r="S128" s="19">
        <f>IF(2026-S$3&gt;IF($D128="",2026,$D128),IF(S$3=12,0.1*$G128,""),IF(2026-S$4&lt;$C128,"",S$4*$G128))</f>
        <v>86028</v>
      </c>
      <c r="T128" s="19">
        <f>IF(2026-T$3&gt;IF($D128="",2026,$D128),IF(T$3=12,0.1*$G128,""),IF(2026-T$4&lt;$C128,"",T$4*$G128))</f>
        <v>107856</v>
      </c>
    </row>
    <row r="129" spans="1:20" s="18" customFormat="1" ht="12" customHeight="1" x14ac:dyDescent="0.2">
      <c r="A129" s="17"/>
      <c r="B129" s="16" t="s">
        <v>308</v>
      </c>
      <c r="C129" s="13">
        <v>2015</v>
      </c>
      <c r="D129" s="13"/>
      <c r="E129" s="13">
        <v>2981</v>
      </c>
      <c r="F129" s="13">
        <v>450</v>
      </c>
      <c r="G129" s="21">
        <v>136100</v>
      </c>
      <c r="H129" s="20"/>
      <c r="I129" s="19">
        <f>IF(2026-I$3&gt;IF($D129="",2026,$D129),IF(I$3=12,0.1*$G129,""),IF(2026-I$4&lt;$C129,"",I$4*$G129))</f>
        <v>13610</v>
      </c>
      <c r="J129" s="19">
        <f>IF(2026-J$3&gt;IF($D129="",2026,$D129),IF(J$3=12,0.1*$G129,""),IF(2026-J$4&lt;$C129,"",J$4*$G129))</f>
        <v>17693</v>
      </c>
      <c r="K129" s="19">
        <f>IF(2026-K$3&gt;IF($D129="",2026,$D129),IF(K$3=12,0.1*$G129,""),IF(2026-K$4&lt;$C129,"",K$4*$G129))</f>
        <v>23137</v>
      </c>
      <c r="L129" s="19">
        <f>IF(2026-L$3&gt;IF($D129="",2026,$D129),IF(L$3=12,0.1*$G129,""),IF(2026-L$4&lt;$C129,"",L$4*$G129))</f>
        <v>25859</v>
      </c>
      <c r="M129" s="19">
        <f>IF(2026-M$3&gt;IF($D129="",2026,$D129),IF(M$3=12,0.1*$G129,""),IF(2026-M$4&lt;$C129,"",M$4*$G129))</f>
        <v>32664</v>
      </c>
      <c r="N129" s="19">
        <f>IF(2026-N$3&gt;IF($D129="",2026,$D129),IF(N$3=12,0.1*$G129,""),IF(2026-N$4&lt;$C129,"",N$4*$G129))</f>
        <v>38108</v>
      </c>
      <c r="O129" s="19">
        <f>IF(2026-O$3&gt;IF($D129="",2026,$D129),IF(O$3=12,0.1*$G129,""),IF(2026-O$4&lt;$C129,"",O$4*$G129))</f>
        <v>46274</v>
      </c>
      <c r="P129" s="19">
        <f>IF(2026-P$3&gt;IF($D129="",2026,$D129),IF(P$3=12,0.1*$G129,""),IF(2026-P$4&lt;$C129,"",P$4*$G129))</f>
        <v>53079</v>
      </c>
      <c r="Q129" s="19">
        <f>IF(2026-Q$3&gt;IF($D129="",2026,$D129),IF(Q$3=12,0.1*$G129,""),IF(2026-Q$4&lt;$C129,"",Q$4*$G129))</f>
        <v>63967</v>
      </c>
      <c r="R129" s="19">
        <f>IF(2026-R$3&gt;IF($D129="",2026,$D129),IF(R$3=12,0.1*$G129,""),IF(2026-R$4&lt;$C129,"",R$4*$G129))</f>
        <v>76216</v>
      </c>
      <c r="S129" s="19">
        <f>IF(2026-S$3&gt;IF($D129="",2026,$D129),IF(S$3=12,0.1*$G129,""),IF(2026-S$4&lt;$C129,"",S$4*$G129))</f>
        <v>91187</v>
      </c>
      <c r="T129" s="19">
        <f>IF(2026-T$3&gt;IF($D129="",2026,$D129),IF(T$3=12,0.1*$G129,""),IF(2026-T$4&lt;$C129,"",T$4*$G129))</f>
        <v>114324</v>
      </c>
    </row>
    <row r="130" spans="1:20" s="18" customFormat="1" ht="12" customHeight="1" x14ac:dyDescent="0.2">
      <c r="A130" s="17"/>
      <c r="B130" s="16" t="s">
        <v>307</v>
      </c>
      <c r="C130" s="13">
        <v>2015</v>
      </c>
      <c r="D130" s="13"/>
      <c r="E130" s="13">
        <v>2981</v>
      </c>
      <c r="F130" s="13">
        <v>450</v>
      </c>
      <c r="G130" s="21">
        <v>134900</v>
      </c>
      <c r="H130" s="20"/>
      <c r="I130" s="19">
        <f>IF(2026-I$3&gt;IF($D130="",2026,$D130),IF(I$3=12,0.1*$G130,""),IF(2026-I$4&lt;$C130,"",I$4*$G130))</f>
        <v>13490</v>
      </c>
      <c r="J130" s="19">
        <f>IF(2026-J$3&gt;IF($D130="",2026,$D130),IF(J$3=12,0.1*$G130,""),IF(2026-J$4&lt;$C130,"",J$4*$G130))</f>
        <v>17537</v>
      </c>
      <c r="K130" s="19">
        <f>IF(2026-K$3&gt;IF($D130="",2026,$D130),IF(K$3=12,0.1*$G130,""),IF(2026-K$4&lt;$C130,"",K$4*$G130))</f>
        <v>22933</v>
      </c>
      <c r="L130" s="19">
        <f>IF(2026-L$3&gt;IF($D130="",2026,$D130),IF(L$3=12,0.1*$G130,""),IF(2026-L$4&lt;$C130,"",L$4*$G130))</f>
        <v>25631</v>
      </c>
      <c r="M130" s="19">
        <f>IF(2026-M$3&gt;IF($D130="",2026,$D130),IF(M$3=12,0.1*$G130,""),IF(2026-M$4&lt;$C130,"",M$4*$G130))</f>
        <v>32376</v>
      </c>
      <c r="N130" s="19">
        <f>IF(2026-N$3&gt;IF($D130="",2026,$D130),IF(N$3=12,0.1*$G130,""),IF(2026-N$4&lt;$C130,"",N$4*$G130))</f>
        <v>37772</v>
      </c>
      <c r="O130" s="19">
        <f>IF(2026-O$3&gt;IF($D130="",2026,$D130),IF(O$3=12,0.1*$G130,""),IF(2026-O$4&lt;$C130,"",O$4*$G130))</f>
        <v>45866</v>
      </c>
      <c r="P130" s="19">
        <f>IF(2026-P$3&gt;IF($D130="",2026,$D130),IF(P$3=12,0.1*$G130,""),IF(2026-P$4&lt;$C130,"",P$4*$G130))</f>
        <v>52611</v>
      </c>
      <c r="Q130" s="19">
        <f>IF(2026-Q$3&gt;IF($D130="",2026,$D130),IF(Q$3=12,0.1*$G130,""),IF(2026-Q$4&lt;$C130,"",Q$4*$G130))</f>
        <v>63403</v>
      </c>
      <c r="R130" s="19">
        <f>IF(2026-R$3&gt;IF($D130="",2026,$D130),IF(R$3=12,0.1*$G130,""),IF(2026-R$4&lt;$C130,"",R$4*$G130))</f>
        <v>75544</v>
      </c>
      <c r="S130" s="19">
        <f>IF(2026-S$3&gt;IF($D130="",2026,$D130),IF(S$3=12,0.1*$G130,""),IF(2026-S$4&lt;$C130,"",S$4*$G130))</f>
        <v>90383</v>
      </c>
      <c r="T130" s="19">
        <f>IF(2026-T$3&gt;IF($D130="",2026,$D130),IF(T$3=12,0.1*$G130,""),IF(2026-T$4&lt;$C130,"",T$4*$G130))</f>
        <v>113316</v>
      </c>
    </row>
    <row r="131" spans="1:20" s="18" customFormat="1" ht="12" customHeight="1" x14ac:dyDescent="0.2">
      <c r="A131" s="17"/>
      <c r="B131" s="16" t="s">
        <v>306</v>
      </c>
      <c r="C131" s="13">
        <v>2015</v>
      </c>
      <c r="D131" s="13"/>
      <c r="E131" s="13">
        <v>2981</v>
      </c>
      <c r="F131" s="13">
        <v>450</v>
      </c>
      <c r="G131" s="21">
        <v>123100</v>
      </c>
      <c r="H131" s="20"/>
      <c r="I131" s="19">
        <f>IF(2026-I$3&gt;IF($D131="",2026,$D131),IF(I$3=12,0.1*$G131,""),IF(2026-I$4&lt;$C131,"",I$4*$G131))</f>
        <v>12310</v>
      </c>
      <c r="J131" s="19">
        <f>IF(2026-J$3&gt;IF($D131="",2026,$D131),IF(J$3=12,0.1*$G131,""),IF(2026-J$4&lt;$C131,"",J$4*$G131))</f>
        <v>16003</v>
      </c>
      <c r="K131" s="19">
        <f>IF(2026-K$3&gt;IF($D131="",2026,$D131),IF(K$3=12,0.1*$G131,""),IF(2026-K$4&lt;$C131,"",K$4*$G131))</f>
        <v>20927</v>
      </c>
      <c r="L131" s="19">
        <f>IF(2026-L$3&gt;IF($D131="",2026,$D131),IF(L$3=12,0.1*$G131,""),IF(2026-L$4&lt;$C131,"",L$4*$G131))</f>
        <v>23389</v>
      </c>
      <c r="M131" s="19">
        <f>IF(2026-M$3&gt;IF($D131="",2026,$D131),IF(M$3=12,0.1*$G131,""),IF(2026-M$4&lt;$C131,"",M$4*$G131))</f>
        <v>29544</v>
      </c>
      <c r="N131" s="19">
        <f>IF(2026-N$3&gt;IF($D131="",2026,$D131),IF(N$3=12,0.1*$G131,""),IF(2026-N$4&lt;$C131,"",N$4*$G131))</f>
        <v>34468</v>
      </c>
      <c r="O131" s="19">
        <f>IF(2026-O$3&gt;IF($D131="",2026,$D131),IF(O$3=12,0.1*$G131,""),IF(2026-O$4&lt;$C131,"",O$4*$G131))</f>
        <v>41854</v>
      </c>
      <c r="P131" s="19">
        <f>IF(2026-P$3&gt;IF($D131="",2026,$D131),IF(P$3=12,0.1*$G131,""),IF(2026-P$4&lt;$C131,"",P$4*$G131))</f>
        <v>48009</v>
      </c>
      <c r="Q131" s="19">
        <f>IF(2026-Q$3&gt;IF($D131="",2026,$D131),IF(Q$3=12,0.1*$G131,""),IF(2026-Q$4&lt;$C131,"",Q$4*$G131))</f>
        <v>57857</v>
      </c>
      <c r="R131" s="19">
        <f>IF(2026-R$3&gt;IF($D131="",2026,$D131),IF(R$3=12,0.1*$G131,""),IF(2026-R$4&lt;$C131,"",R$4*$G131))</f>
        <v>68936</v>
      </c>
      <c r="S131" s="19">
        <f>IF(2026-S$3&gt;IF($D131="",2026,$D131),IF(S$3=12,0.1*$G131,""),IF(2026-S$4&lt;$C131,"",S$4*$G131))</f>
        <v>82477</v>
      </c>
      <c r="T131" s="19">
        <f>IF(2026-T$3&gt;IF($D131="",2026,$D131),IF(T$3=12,0.1*$G131,""),IF(2026-T$4&lt;$C131,"",T$4*$G131))</f>
        <v>103404</v>
      </c>
    </row>
    <row r="132" spans="1:20" s="18" customFormat="1" ht="12" customHeight="1" x14ac:dyDescent="0.2">
      <c r="A132" s="17"/>
      <c r="B132" s="16" t="s">
        <v>305</v>
      </c>
      <c r="C132" s="13">
        <v>2015</v>
      </c>
      <c r="D132" s="13"/>
      <c r="E132" s="13">
        <v>2981</v>
      </c>
      <c r="F132" s="13">
        <v>450</v>
      </c>
      <c r="G132" s="21">
        <v>122500</v>
      </c>
      <c r="H132" s="20"/>
      <c r="I132" s="19">
        <f>IF(2026-I$3&gt;IF($D132="",2026,$D132),IF(I$3=12,0.1*$G132,""),IF(2026-I$4&lt;$C132,"",I$4*$G132))</f>
        <v>12250</v>
      </c>
      <c r="J132" s="19">
        <f>IF(2026-J$3&gt;IF($D132="",2026,$D132),IF(J$3=12,0.1*$G132,""),IF(2026-J$4&lt;$C132,"",J$4*$G132))</f>
        <v>15925</v>
      </c>
      <c r="K132" s="19">
        <f>IF(2026-K$3&gt;IF($D132="",2026,$D132),IF(K$3=12,0.1*$G132,""),IF(2026-K$4&lt;$C132,"",K$4*$G132))</f>
        <v>20825</v>
      </c>
      <c r="L132" s="19">
        <f>IF(2026-L$3&gt;IF($D132="",2026,$D132),IF(L$3=12,0.1*$G132,""),IF(2026-L$4&lt;$C132,"",L$4*$G132))</f>
        <v>23275</v>
      </c>
      <c r="M132" s="19">
        <f>IF(2026-M$3&gt;IF($D132="",2026,$D132),IF(M$3=12,0.1*$G132,""),IF(2026-M$4&lt;$C132,"",M$4*$G132))</f>
        <v>29400</v>
      </c>
      <c r="N132" s="19">
        <f>IF(2026-N$3&gt;IF($D132="",2026,$D132),IF(N$3=12,0.1*$G132,""),IF(2026-N$4&lt;$C132,"",N$4*$G132))</f>
        <v>34300</v>
      </c>
      <c r="O132" s="19">
        <f>IF(2026-O$3&gt;IF($D132="",2026,$D132),IF(O$3=12,0.1*$G132,""),IF(2026-O$4&lt;$C132,"",O$4*$G132))</f>
        <v>41650</v>
      </c>
      <c r="P132" s="19">
        <f>IF(2026-P$3&gt;IF($D132="",2026,$D132),IF(P$3=12,0.1*$G132,""),IF(2026-P$4&lt;$C132,"",P$4*$G132))</f>
        <v>47775</v>
      </c>
      <c r="Q132" s="19">
        <f>IF(2026-Q$3&gt;IF($D132="",2026,$D132),IF(Q$3=12,0.1*$G132,""),IF(2026-Q$4&lt;$C132,"",Q$4*$G132))</f>
        <v>57575</v>
      </c>
      <c r="R132" s="19">
        <f>IF(2026-R$3&gt;IF($D132="",2026,$D132),IF(R$3=12,0.1*$G132,""),IF(2026-R$4&lt;$C132,"",R$4*$G132))</f>
        <v>68600</v>
      </c>
      <c r="S132" s="19">
        <f>IF(2026-S$3&gt;IF($D132="",2026,$D132),IF(S$3=12,0.1*$G132,""),IF(2026-S$4&lt;$C132,"",S$4*$G132))</f>
        <v>82075</v>
      </c>
      <c r="T132" s="19">
        <f>IF(2026-T$3&gt;IF($D132="",2026,$D132),IF(T$3=12,0.1*$G132,""),IF(2026-T$4&lt;$C132,"",T$4*$G132))</f>
        <v>102900</v>
      </c>
    </row>
    <row r="133" spans="1:20" s="18" customFormat="1" ht="12" customHeight="1" x14ac:dyDescent="0.2">
      <c r="A133" s="17"/>
      <c r="B133" s="16" t="s">
        <v>304</v>
      </c>
      <c r="C133" s="13">
        <v>2015</v>
      </c>
      <c r="D133" s="13"/>
      <c r="E133" s="13">
        <v>2981</v>
      </c>
      <c r="F133" s="13">
        <v>450</v>
      </c>
      <c r="G133" s="21">
        <v>143300</v>
      </c>
      <c r="H133" s="20"/>
      <c r="I133" s="19">
        <f>IF(2026-I$3&gt;IF($D133="",2026,$D133),IF(I$3=12,0.1*$G133,""),IF(2026-I$4&lt;$C133,"",I$4*$G133))</f>
        <v>14330</v>
      </c>
      <c r="J133" s="19">
        <f>IF(2026-J$3&gt;IF($D133="",2026,$D133),IF(J$3=12,0.1*$G133,""),IF(2026-J$4&lt;$C133,"",J$4*$G133))</f>
        <v>18629</v>
      </c>
      <c r="K133" s="19">
        <f>IF(2026-K$3&gt;IF($D133="",2026,$D133),IF(K$3=12,0.1*$G133,""),IF(2026-K$4&lt;$C133,"",K$4*$G133))</f>
        <v>24361</v>
      </c>
      <c r="L133" s="19">
        <f>IF(2026-L$3&gt;IF($D133="",2026,$D133),IF(L$3=12,0.1*$G133,""),IF(2026-L$4&lt;$C133,"",L$4*$G133))</f>
        <v>27227</v>
      </c>
      <c r="M133" s="19">
        <f>IF(2026-M$3&gt;IF($D133="",2026,$D133),IF(M$3=12,0.1*$G133,""),IF(2026-M$4&lt;$C133,"",M$4*$G133))</f>
        <v>34392</v>
      </c>
      <c r="N133" s="19">
        <f>IF(2026-N$3&gt;IF($D133="",2026,$D133),IF(N$3=12,0.1*$G133,""),IF(2026-N$4&lt;$C133,"",N$4*$G133))</f>
        <v>40124.000000000007</v>
      </c>
      <c r="O133" s="19">
        <f>IF(2026-O$3&gt;IF($D133="",2026,$D133),IF(O$3=12,0.1*$G133,""),IF(2026-O$4&lt;$C133,"",O$4*$G133))</f>
        <v>48722</v>
      </c>
      <c r="P133" s="19">
        <f>IF(2026-P$3&gt;IF($D133="",2026,$D133),IF(P$3=12,0.1*$G133,""),IF(2026-P$4&lt;$C133,"",P$4*$G133))</f>
        <v>55887</v>
      </c>
      <c r="Q133" s="19">
        <f>IF(2026-Q$3&gt;IF($D133="",2026,$D133),IF(Q$3=12,0.1*$G133,""),IF(2026-Q$4&lt;$C133,"",Q$4*$G133))</f>
        <v>67351</v>
      </c>
      <c r="R133" s="19">
        <f>IF(2026-R$3&gt;IF($D133="",2026,$D133),IF(R$3=12,0.1*$G133,""),IF(2026-R$4&lt;$C133,"",R$4*$G133))</f>
        <v>80248.000000000015</v>
      </c>
      <c r="S133" s="19">
        <f>IF(2026-S$3&gt;IF($D133="",2026,$D133),IF(S$3=12,0.1*$G133,""),IF(2026-S$4&lt;$C133,"",S$4*$G133))</f>
        <v>96011</v>
      </c>
      <c r="T133" s="19">
        <f>IF(2026-T$3&gt;IF($D133="",2026,$D133),IF(T$3=12,0.1*$G133,""),IF(2026-T$4&lt;$C133,"",T$4*$G133))</f>
        <v>120372</v>
      </c>
    </row>
    <row r="134" spans="1:20" s="18" customFormat="1" ht="12" customHeight="1" x14ac:dyDescent="0.2">
      <c r="A134" s="17"/>
      <c r="B134" s="16" t="s">
        <v>303</v>
      </c>
      <c r="C134" s="13">
        <v>2015</v>
      </c>
      <c r="D134" s="13"/>
      <c r="E134" s="13">
        <v>2981</v>
      </c>
      <c r="F134" s="13">
        <v>450</v>
      </c>
      <c r="G134" s="21">
        <v>141900</v>
      </c>
      <c r="H134" s="20"/>
      <c r="I134" s="19">
        <f>IF(2026-I$3&gt;IF($D134="",2026,$D134),IF(I$3=12,0.1*$G134,""),IF(2026-I$4&lt;$C134,"",I$4*$G134))</f>
        <v>14190</v>
      </c>
      <c r="J134" s="19">
        <f>IF(2026-J$3&gt;IF($D134="",2026,$D134),IF(J$3=12,0.1*$G134,""),IF(2026-J$4&lt;$C134,"",J$4*$G134))</f>
        <v>18447</v>
      </c>
      <c r="K134" s="19">
        <f>IF(2026-K$3&gt;IF($D134="",2026,$D134),IF(K$3=12,0.1*$G134,""),IF(2026-K$4&lt;$C134,"",K$4*$G134))</f>
        <v>24123</v>
      </c>
      <c r="L134" s="19">
        <f>IF(2026-L$3&gt;IF($D134="",2026,$D134),IF(L$3=12,0.1*$G134,""),IF(2026-L$4&lt;$C134,"",L$4*$G134))</f>
        <v>26961</v>
      </c>
      <c r="M134" s="19">
        <f>IF(2026-M$3&gt;IF($D134="",2026,$D134),IF(M$3=12,0.1*$G134,""),IF(2026-M$4&lt;$C134,"",M$4*$G134))</f>
        <v>34056</v>
      </c>
      <c r="N134" s="19">
        <f>IF(2026-N$3&gt;IF($D134="",2026,$D134),IF(N$3=12,0.1*$G134,""),IF(2026-N$4&lt;$C134,"",N$4*$G134))</f>
        <v>39732.000000000007</v>
      </c>
      <c r="O134" s="19">
        <f>IF(2026-O$3&gt;IF($D134="",2026,$D134),IF(O$3=12,0.1*$G134,""),IF(2026-O$4&lt;$C134,"",O$4*$G134))</f>
        <v>48246</v>
      </c>
      <c r="P134" s="19">
        <f>IF(2026-P$3&gt;IF($D134="",2026,$D134),IF(P$3=12,0.1*$G134,""),IF(2026-P$4&lt;$C134,"",P$4*$G134))</f>
        <v>55341</v>
      </c>
      <c r="Q134" s="19">
        <f>IF(2026-Q$3&gt;IF($D134="",2026,$D134),IF(Q$3=12,0.1*$G134,""),IF(2026-Q$4&lt;$C134,"",Q$4*$G134))</f>
        <v>66693</v>
      </c>
      <c r="R134" s="19">
        <f>IF(2026-R$3&gt;IF($D134="",2026,$D134),IF(R$3=12,0.1*$G134,""),IF(2026-R$4&lt;$C134,"",R$4*$G134))</f>
        <v>79464.000000000015</v>
      </c>
      <c r="S134" s="19">
        <f>IF(2026-S$3&gt;IF($D134="",2026,$D134),IF(S$3=12,0.1*$G134,""),IF(2026-S$4&lt;$C134,"",S$4*$G134))</f>
        <v>95073</v>
      </c>
      <c r="T134" s="19">
        <f>IF(2026-T$3&gt;IF($D134="",2026,$D134),IF(T$3=12,0.1*$G134,""),IF(2026-T$4&lt;$C134,"",T$4*$G134))</f>
        <v>119196</v>
      </c>
    </row>
    <row r="135" spans="1:20" s="18" customFormat="1" ht="12" customHeight="1" x14ac:dyDescent="0.2">
      <c r="A135" s="17"/>
      <c r="B135" s="16" t="s">
        <v>302</v>
      </c>
      <c r="C135" s="13">
        <v>2015</v>
      </c>
      <c r="D135" s="13"/>
      <c r="E135" s="13">
        <v>2981</v>
      </c>
      <c r="F135" s="13">
        <v>450</v>
      </c>
      <c r="G135" s="21">
        <v>130400</v>
      </c>
      <c r="H135" s="20"/>
      <c r="I135" s="19">
        <f>IF(2026-I$3&gt;IF($D135="",2026,$D135),IF(I$3=12,0.1*$G135,""),IF(2026-I$4&lt;$C135,"",I$4*$G135))</f>
        <v>13040</v>
      </c>
      <c r="J135" s="19">
        <f>IF(2026-J$3&gt;IF($D135="",2026,$D135),IF(J$3=12,0.1*$G135,""),IF(2026-J$4&lt;$C135,"",J$4*$G135))</f>
        <v>16952</v>
      </c>
      <c r="K135" s="19">
        <f>IF(2026-K$3&gt;IF($D135="",2026,$D135),IF(K$3=12,0.1*$G135,""),IF(2026-K$4&lt;$C135,"",K$4*$G135))</f>
        <v>22168</v>
      </c>
      <c r="L135" s="19">
        <f>IF(2026-L$3&gt;IF($D135="",2026,$D135),IF(L$3=12,0.1*$G135,""),IF(2026-L$4&lt;$C135,"",L$4*$G135))</f>
        <v>24776</v>
      </c>
      <c r="M135" s="19">
        <f>IF(2026-M$3&gt;IF($D135="",2026,$D135),IF(M$3=12,0.1*$G135,""),IF(2026-M$4&lt;$C135,"",M$4*$G135))</f>
        <v>31296</v>
      </c>
      <c r="N135" s="19">
        <f>IF(2026-N$3&gt;IF($D135="",2026,$D135),IF(N$3=12,0.1*$G135,""),IF(2026-N$4&lt;$C135,"",N$4*$G135))</f>
        <v>36512</v>
      </c>
      <c r="O135" s="19">
        <f>IF(2026-O$3&gt;IF($D135="",2026,$D135),IF(O$3=12,0.1*$G135,""),IF(2026-O$4&lt;$C135,"",O$4*$G135))</f>
        <v>44336</v>
      </c>
      <c r="P135" s="19">
        <f>IF(2026-P$3&gt;IF($D135="",2026,$D135),IF(P$3=12,0.1*$G135,""),IF(2026-P$4&lt;$C135,"",P$4*$G135))</f>
        <v>50856</v>
      </c>
      <c r="Q135" s="19">
        <f>IF(2026-Q$3&gt;IF($D135="",2026,$D135),IF(Q$3=12,0.1*$G135,""),IF(2026-Q$4&lt;$C135,"",Q$4*$G135))</f>
        <v>61288</v>
      </c>
      <c r="R135" s="19">
        <f>IF(2026-R$3&gt;IF($D135="",2026,$D135),IF(R$3=12,0.1*$G135,""),IF(2026-R$4&lt;$C135,"",R$4*$G135))</f>
        <v>73024</v>
      </c>
      <c r="S135" s="19">
        <f>IF(2026-S$3&gt;IF($D135="",2026,$D135),IF(S$3=12,0.1*$G135,""),IF(2026-S$4&lt;$C135,"",S$4*$G135))</f>
        <v>87368</v>
      </c>
      <c r="T135" s="19">
        <f>IF(2026-T$3&gt;IF($D135="",2026,$D135),IF(T$3=12,0.1*$G135,""),IF(2026-T$4&lt;$C135,"",T$4*$G135))</f>
        <v>109536</v>
      </c>
    </row>
    <row r="136" spans="1:20" s="18" customFormat="1" ht="12" customHeight="1" x14ac:dyDescent="0.2">
      <c r="A136" s="17"/>
      <c r="B136" s="16" t="s">
        <v>301</v>
      </c>
      <c r="C136" s="13">
        <v>2015</v>
      </c>
      <c r="D136" s="13"/>
      <c r="E136" s="13">
        <v>2981</v>
      </c>
      <c r="F136" s="13">
        <v>450</v>
      </c>
      <c r="G136" s="21">
        <v>143300</v>
      </c>
      <c r="H136" s="20"/>
      <c r="I136" s="19">
        <f>IF(2026-I$3&gt;IF($D136="",2026,$D136),IF(I$3=12,0.1*$G136,""),IF(2026-I$4&lt;$C136,"",I$4*$G136))</f>
        <v>14330</v>
      </c>
      <c r="J136" s="19">
        <f>IF(2026-J$3&gt;IF($D136="",2026,$D136),IF(J$3=12,0.1*$G136,""),IF(2026-J$4&lt;$C136,"",J$4*$G136))</f>
        <v>18629</v>
      </c>
      <c r="K136" s="19">
        <f>IF(2026-K$3&gt;IF($D136="",2026,$D136),IF(K$3=12,0.1*$G136,""),IF(2026-K$4&lt;$C136,"",K$4*$G136))</f>
        <v>24361</v>
      </c>
      <c r="L136" s="19">
        <f>IF(2026-L$3&gt;IF($D136="",2026,$D136),IF(L$3=12,0.1*$G136,""),IF(2026-L$4&lt;$C136,"",L$4*$G136))</f>
        <v>27227</v>
      </c>
      <c r="M136" s="19">
        <f>IF(2026-M$3&gt;IF($D136="",2026,$D136),IF(M$3=12,0.1*$G136,""),IF(2026-M$4&lt;$C136,"",M$4*$G136))</f>
        <v>34392</v>
      </c>
      <c r="N136" s="19">
        <f>IF(2026-N$3&gt;IF($D136="",2026,$D136),IF(N$3=12,0.1*$G136,""),IF(2026-N$4&lt;$C136,"",N$4*$G136))</f>
        <v>40124.000000000007</v>
      </c>
      <c r="O136" s="19">
        <f>IF(2026-O$3&gt;IF($D136="",2026,$D136),IF(O$3=12,0.1*$G136,""),IF(2026-O$4&lt;$C136,"",O$4*$G136))</f>
        <v>48722</v>
      </c>
      <c r="P136" s="19">
        <f>IF(2026-P$3&gt;IF($D136="",2026,$D136),IF(P$3=12,0.1*$G136,""),IF(2026-P$4&lt;$C136,"",P$4*$G136))</f>
        <v>55887</v>
      </c>
      <c r="Q136" s="19">
        <f>IF(2026-Q$3&gt;IF($D136="",2026,$D136),IF(Q$3=12,0.1*$G136,""),IF(2026-Q$4&lt;$C136,"",Q$4*$G136))</f>
        <v>67351</v>
      </c>
      <c r="R136" s="19">
        <f>IF(2026-R$3&gt;IF($D136="",2026,$D136),IF(R$3=12,0.1*$G136,""),IF(2026-R$4&lt;$C136,"",R$4*$G136))</f>
        <v>80248.000000000015</v>
      </c>
      <c r="S136" s="19">
        <f>IF(2026-S$3&gt;IF($D136="",2026,$D136),IF(S$3=12,0.1*$G136,""),IF(2026-S$4&lt;$C136,"",S$4*$G136))</f>
        <v>96011</v>
      </c>
      <c r="T136" s="19">
        <f>IF(2026-T$3&gt;IF($D136="",2026,$D136),IF(T$3=12,0.1*$G136,""),IF(2026-T$4&lt;$C136,"",T$4*$G136))</f>
        <v>120372</v>
      </c>
    </row>
    <row r="137" spans="1:20" s="18" customFormat="1" ht="12" customHeight="1" x14ac:dyDescent="0.2">
      <c r="A137" s="17"/>
      <c r="B137" s="16" t="s">
        <v>300</v>
      </c>
      <c r="C137" s="13">
        <v>2015</v>
      </c>
      <c r="D137" s="13"/>
      <c r="E137" s="13">
        <v>2981</v>
      </c>
      <c r="F137" s="13">
        <v>450</v>
      </c>
      <c r="G137" s="21">
        <v>141900</v>
      </c>
      <c r="H137" s="20"/>
      <c r="I137" s="19">
        <f>IF(2026-I$3&gt;IF($D137="",2026,$D137),IF(I$3=12,0.1*$G137,""),IF(2026-I$4&lt;$C137,"",I$4*$G137))</f>
        <v>14190</v>
      </c>
      <c r="J137" s="19">
        <f>IF(2026-J$3&gt;IF($D137="",2026,$D137),IF(J$3=12,0.1*$G137,""),IF(2026-J$4&lt;$C137,"",J$4*$G137))</f>
        <v>18447</v>
      </c>
      <c r="K137" s="19">
        <f>IF(2026-K$3&gt;IF($D137="",2026,$D137),IF(K$3=12,0.1*$G137,""),IF(2026-K$4&lt;$C137,"",K$4*$G137))</f>
        <v>24123</v>
      </c>
      <c r="L137" s="19">
        <f>IF(2026-L$3&gt;IF($D137="",2026,$D137),IF(L$3=12,0.1*$G137,""),IF(2026-L$4&lt;$C137,"",L$4*$G137))</f>
        <v>26961</v>
      </c>
      <c r="M137" s="19">
        <f>IF(2026-M$3&gt;IF($D137="",2026,$D137),IF(M$3=12,0.1*$G137,""),IF(2026-M$4&lt;$C137,"",M$4*$G137))</f>
        <v>34056</v>
      </c>
      <c r="N137" s="19">
        <f>IF(2026-N$3&gt;IF($D137="",2026,$D137),IF(N$3=12,0.1*$G137,""),IF(2026-N$4&lt;$C137,"",N$4*$G137))</f>
        <v>39732.000000000007</v>
      </c>
      <c r="O137" s="19">
        <f>IF(2026-O$3&gt;IF($D137="",2026,$D137),IF(O$3=12,0.1*$G137,""),IF(2026-O$4&lt;$C137,"",O$4*$G137))</f>
        <v>48246</v>
      </c>
      <c r="P137" s="19">
        <f>IF(2026-P$3&gt;IF($D137="",2026,$D137),IF(P$3=12,0.1*$G137,""),IF(2026-P$4&lt;$C137,"",P$4*$G137))</f>
        <v>55341</v>
      </c>
      <c r="Q137" s="19">
        <f>IF(2026-Q$3&gt;IF($D137="",2026,$D137),IF(Q$3=12,0.1*$G137,""),IF(2026-Q$4&lt;$C137,"",Q$4*$G137))</f>
        <v>66693</v>
      </c>
      <c r="R137" s="19">
        <f>IF(2026-R$3&gt;IF($D137="",2026,$D137),IF(R$3=12,0.1*$G137,""),IF(2026-R$4&lt;$C137,"",R$4*$G137))</f>
        <v>79464.000000000015</v>
      </c>
      <c r="S137" s="19">
        <f>IF(2026-S$3&gt;IF($D137="",2026,$D137),IF(S$3=12,0.1*$G137,""),IF(2026-S$4&lt;$C137,"",S$4*$G137))</f>
        <v>95073</v>
      </c>
      <c r="T137" s="19">
        <f>IF(2026-T$3&gt;IF($D137="",2026,$D137),IF(T$3=12,0.1*$G137,""),IF(2026-T$4&lt;$C137,"",T$4*$G137))</f>
        <v>119196</v>
      </c>
    </row>
    <row r="138" spans="1:20" s="18" customFormat="1" ht="12" customHeight="1" x14ac:dyDescent="0.2">
      <c r="A138" s="17"/>
      <c r="B138" s="16" t="s">
        <v>299</v>
      </c>
      <c r="C138" s="13">
        <v>2015</v>
      </c>
      <c r="D138" s="13"/>
      <c r="E138" s="13">
        <v>3800</v>
      </c>
      <c r="F138" s="13">
        <v>540</v>
      </c>
      <c r="G138" s="21">
        <v>185200</v>
      </c>
      <c r="H138" s="20"/>
      <c r="I138" s="19">
        <f>IF(2026-I$3&gt;IF($D138="",2026,$D138),IF(I$3=12,0.1*$G138,""),IF(2026-I$4&lt;$C138,"",I$4*$G138))</f>
        <v>18520</v>
      </c>
      <c r="J138" s="19">
        <f>IF(2026-J$3&gt;IF($D138="",2026,$D138),IF(J$3=12,0.1*$G138,""),IF(2026-J$4&lt;$C138,"",J$4*$G138))</f>
        <v>24076</v>
      </c>
      <c r="K138" s="19">
        <f>IF(2026-K$3&gt;IF($D138="",2026,$D138),IF(K$3=12,0.1*$G138,""),IF(2026-K$4&lt;$C138,"",K$4*$G138))</f>
        <v>31484.000000000004</v>
      </c>
      <c r="L138" s="19">
        <f>IF(2026-L$3&gt;IF($D138="",2026,$D138),IF(L$3=12,0.1*$G138,""),IF(2026-L$4&lt;$C138,"",L$4*$G138))</f>
        <v>35188</v>
      </c>
      <c r="M138" s="19">
        <f>IF(2026-M$3&gt;IF($D138="",2026,$D138),IF(M$3=12,0.1*$G138,""),IF(2026-M$4&lt;$C138,"",M$4*$G138))</f>
        <v>44448</v>
      </c>
      <c r="N138" s="19">
        <f>IF(2026-N$3&gt;IF($D138="",2026,$D138),IF(N$3=12,0.1*$G138,""),IF(2026-N$4&lt;$C138,"",N$4*$G138))</f>
        <v>51856.000000000007</v>
      </c>
      <c r="O138" s="19">
        <f>IF(2026-O$3&gt;IF($D138="",2026,$D138),IF(O$3=12,0.1*$G138,""),IF(2026-O$4&lt;$C138,"",O$4*$G138))</f>
        <v>62968.000000000007</v>
      </c>
      <c r="P138" s="19">
        <f>IF(2026-P$3&gt;IF($D138="",2026,$D138),IF(P$3=12,0.1*$G138,""),IF(2026-P$4&lt;$C138,"",P$4*$G138))</f>
        <v>72228</v>
      </c>
      <c r="Q138" s="19">
        <f>IF(2026-Q$3&gt;IF($D138="",2026,$D138),IF(Q$3=12,0.1*$G138,""),IF(2026-Q$4&lt;$C138,"",Q$4*$G138))</f>
        <v>87044</v>
      </c>
      <c r="R138" s="19">
        <f>IF(2026-R$3&gt;IF($D138="",2026,$D138),IF(R$3=12,0.1*$G138,""),IF(2026-R$4&lt;$C138,"",R$4*$G138))</f>
        <v>103712.00000000001</v>
      </c>
      <c r="S138" s="19">
        <f>IF(2026-S$3&gt;IF($D138="",2026,$D138),IF(S$3=12,0.1*$G138,""),IF(2026-S$4&lt;$C138,"",S$4*$G138))</f>
        <v>124084.00000000001</v>
      </c>
      <c r="T138" s="19">
        <f>IF(2026-T$3&gt;IF($D138="",2026,$D138),IF(T$3=12,0.1*$G138,""),IF(2026-T$4&lt;$C138,"",T$4*$G138))</f>
        <v>155568</v>
      </c>
    </row>
    <row r="139" spans="1:20" s="18" customFormat="1" ht="12" customHeight="1" x14ac:dyDescent="0.2">
      <c r="A139" s="17"/>
      <c r="B139" s="16" t="s">
        <v>298</v>
      </c>
      <c r="C139" s="13">
        <v>2015</v>
      </c>
      <c r="D139" s="13"/>
      <c r="E139" s="13">
        <v>3800</v>
      </c>
      <c r="F139" s="13">
        <v>540</v>
      </c>
      <c r="G139" s="21">
        <v>172500</v>
      </c>
      <c r="H139" s="20"/>
      <c r="I139" s="19">
        <f>IF(2026-I$3&gt;IF($D139="",2026,$D139),IF(I$3=12,0.1*$G139,""),IF(2026-I$4&lt;$C139,"",I$4*$G139))</f>
        <v>17250</v>
      </c>
      <c r="J139" s="19">
        <f>IF(2026-J$3&gt;IF($D139="",2026,$D139),IF(J$3=12,0.1*$G139,""),IF(2026-J$4&lt;$C139,"",J$4*$G139))</f>
        <v>22425</v>
      </c>
      <c r="K139" s="19">
        <f>IF(2026-K$3&gt;IF($D139="",2026,$D139),IF(K$3=12,0.1*$G139,""),IF(2026-K$4&lt;$C139,"",K$4*$G139))</f>
        <v>29325.000000000004</v>
      </c>
      <c r="L139" s="19">
        <f>IF(2026-L$3&gt;IF($D139="",2026,$D139),IF(L$3=12,0.1*$G139,""),IF(2026-L$4&lt;$C139,"",L$4*$G139))</f>
        <v>32775</v>
      </c>
      <c r="M139" s="19">
        <f>IF(2026-M$3&gt;IF($D139="",2026,$D139),IF(M$3=12,0.1*$G139,""),IF(2026-M$4&lt;$C139,"",M$4*$G139))</f>
        <v>41400</v>
      </c>
      <c r="N139" s="19">
        <f>IF(2026-N$3&gt;IF($D139="",2026,$D139),IF(N$3=12,0.1*$G139,""),IF(2026-N$4&lt;$C139,"",N$4*$G139))</f>
        <v>48300.000000000007</v>
      </c>
      <c r="O139" s="19">
        <f>IF(2026-O$3&gt;IF($D139="",2026,$D139),IF(O$3=12,0.1*$G139,""),IF(2026-O$4&lt;$C139,"",O$4*$G139))</f>
        <v>58650.000000000007</v>
      </c>
      <c r="P139" s="19">
        <f>IF(2026-P$3&gt;IF($D139="",2026,$D139),IF(P$3=12,0.1*$G139,""),IF(2026-P$4&lt;$C139,"",P$4*$G139))</f>
        <v>67275</v>
      </c>
      <c r="Q139" s="19">
        <f>IF(2026-Q$3&gt;IF($D139="",2026,$D139),IF(Q$3=12,0.1*$G139,""),IF(2026-Q$4&lt;$C139,"",Q$4*$G139))</f>
        <v>81075</v>
      </c>
      <c r="R139" s="19">
        <f>IF(2026-R$3&gt;IF($D139="",2026,$D139),IF(R$3=12,0.1*$G139,""),IF(2026-R$4&lt;$C139,"",R$4*$G139))</f>
        <v>96600.000000000015</v>
      </c>
      <c r="S139" s="19">
        <f>IF(2026-S$3&gt;IF($D139="",2026,$D139),IF(S$3=12,0.1*$G139,""),IF(2026-S$4&lt;$C139,"",S$4*$G139))</f>
        <v>115575</v>
      </c>
      <c r="T139" s="19">
        <f>IF(2026-T$3&gt;IF($D139="",2026,$D139),IF(T$3=12,0.1*$G139,""),IF(2026-T$4&lt;$C139,"",T$4*$G139))</f>
        <v>144900</v>
      </c>
    </row>
    <row r="140" spans="1:20" s="18" customFormat="1" ht="12" customHeight="1" x14ac:dyDescent="0.2">
      <c r="A140" s="17"/>
      <c r="B140" s="16" t="s">
        <v>297</v>
      </c>
      <c r="C140" s="13">
        <v>2015</v>
      </c>
      <c r="D140" s="13"/>
      <c r="E140" s="13">
        <v>3800</v>
      </c>
      <c r="F140" s="13">
        <v>580</v>
      </c>
      <c r="G140" s="21">
        <v>212700</v>
      </c>
      <c r="H140" s="20"/>
      <c r="I140" s="19">
        <f>IF(2026-I$3&gt;IF($D140="",2026,$D140),IF(I$3=12,0.1*$G140,""),IF(2026-I$4&lt;$C140,"",I$4*$G140))</f>
        <v>21270</v>
      </c>
      <c r="J140" s="19">
        <f>IF(2026-J$3&gt;IF($D140="",2026,$D140),IF(J$3=12,0.1*$G140,""),IF(2026-J$4&lt;$C140,"",J$4*$G140))</f>
        <v>27651</v>
      </c>
      <c r="K140" s="19">
        <f>IF(2026-K$3&gt;IF($D140="",2026,$D140),IF(K$3=12,0.1*$G140,""),IF(2026-K$4&lt;$C140,"",K$4*$G140))</f>
        <v>36159</v>
      </c>
      <c r="L140" s="19">
        <f>IF(2026-L$3&gt;IF($D140="",2026,$D140),IF(L$3=12,0.1*$G140,""),IF(2026-L$4&lt;$C140,"",L$4*$G140))</f>
        <v>40413</v>
      </c>
      <c r="M140" s="19">
        <f>IF(2026-M$3&gt;IF($D140="",2026,$D140),IF(M$3=12,0.1*$G140,""),IF(2026-M$4&lt;$C140,"",M$4*$G140))</f>
        <v>51048</v>
      </c>
      <c r="N140" s="19">
        <f>IF(2026-N$3&gt;IF($D140="",2026,$D140),IF(N$3=12,0.1*$G140,""),IF(2026-N$4&lt;$C140,"",N$4*$G140))</f>
        <v>59556.000000000007</v>
      </c>
      <c r="O140" s="19">
        <f>IF(2026-O$3&gt;IF($D140="",2026,$D140),IF(O$3=12,0.1*$G140,""),IF(2026-O$4&lt;$C140,"",O$4*$G140))</f>
        <v>72318</v>
      </c>
      <c r="P140" s="19">
        <f>IF(2026-P$3&gt;IF($D140="",2026,$D140),IF(P$3=12,0.1*$G140,""),IF(2026-P$4&lt;$C140,"",P$4*$G140))</f>
        <v>82953</v>
      </c>
      <c r="Q140" s="19">
        <f>IF(2026-Q$3&gt;IF($D140="",2026,$D140),IF(Q$3=12,0.1*$G140,""),IF(2026-Q$4&lt;$C140,"",Q$4*$G140))</f>
        <v>99969</v>
      </c>
      <c r="R140" s="19">
        <f>IF(2026-R$3&gt;IF($D140="",2026,$D140),IF(R$3=12,0.1*$G140,""),IF(2026-R$4&lt;$C140,"",R$4*$G140))</f>
        <v>119112.00000000001</v>
      </c>
      <c r="S140" s="19">
        <f>IF(2026-S$3&gt;IF($D140="",2026,$D140),IF(S$3=12,0.1*$G140,""),IF(2026-S$4&lt;$C140,"",S$4*$G140))</f>
        <v>142509</v>
      </c>
      <c r="T140" s="19">
        <f>IF(2026-T$3&gt;IF($D140="",2026,$D140),IF(T$3=12,0.1*$G140,""),IF(2026-T$4&lt;$C140,"",T$4*$G140))</f>
        <v>178668</v>
      </c>
    </row>
    <row r="141" spans="1:20" s="18" customFormat="1" ht="12" customHeight="1" x14ac:dyDescent="0.2">
      <c r="A141" s="17"/>
      <c r="B141" s="16" t="s">
        <v>296</v>
      </c>
      <c r="C141" s="13">
        <v>2015</v>
      </c>
      <c r="D141" s="13"/>
      <c r="E141" s="13">
        <v>3800</v>
      </c>
      <c r="F141" s="13">
        <v>580</v>
      </c>
      <c r="G141" s="21">
        <v>200000</v>
      </c>
      <c r="H141" s="20"/>
      <c r="I141" s="19">
        <f>IF(2026-I$3&gt;IF($D141="",2026,$D141),IF(I$3=12,0.1*$G141,""),IF(2026-I$4&lt;$C141,"",I$4*$G141))</f>
        <v>20000</v>
      </c>
      <c r="J141" s="19">
        <f>IF(2026-J$3&gt;IF($D141="",2026,$D141),IF(J$3=12,0.1*$G141,""),IF(2026-J$4&lt;$C141,"",J$4*$G141))</f>
        <v>26000</v>
      </c>
      <c r="K141" s="19">
        <f>IF(2026-K$3&gt;IF($D141="",2026,$D141),IF(K$3=12,0.1*$G141,""),IF(2026-K$4&lt;$C141,"",K$4*$G141))</f>
        <v>34000</v>
      </c>
      <c r="L141" s="19">
        <f>IF(2026-L$3&gt;IF($D141="",2026,$D141),IF(L$3=12,0.1*$G141,""),IF(2026-L$4&lt;$C141,"",L$4*$G141))</f>
        <v>38000</v>
      </c>
      <c r="M141" s="19">
        <f>IF(2026-M$3&gt;IF($D141="",2026,$D141),IF(M$3=12,0.1*$G141,""),IF(2026-M$4&lt;$C141,"",M$4*$G141))</f>
        <v>48000</v>
      </c>
      <c r="N141" s="19">
        <f>IF(2026-N$3&gt;IF($D141="",2026,$D141),IF(N$3=12,0.1*$G141,""),IF(2026-N$4&lt;$C141,"",N$4*$G141))</f>
        <v>56000.000000000007</v>
      </c>
      <c r="O141" s="19">
        <f>IF(2026-O$3&gt;IF($D141="",2026,$D141),IF(O$3=12,0.1*$G141,""),IF(2026-O$4&lt;$C141,"",O$4*$G141))</f>
        <v>68000</v>
      </c>
      <c r="P141" s="19">
        <f>IF(2026-P$3&gt;IF($D141="",2026,$D141),IF(P$3=12,0.1*$G141,""),IF(2026-P$4&lt;$C141,"",P$4*$G141))</f>
        <v>78000</v>
      </c>
      <c r="Q141" s="19">
        <f>IF(2026-Q$3&gt;IF($D141="",2026,$D141),IF(Q$3=12,0.1*$G141,""),IF(2026-Q$4&lt;$C141,"",Q$4*$G141))</f>
        <v>94000</v>
      </c>
      <c r="R141" s="19">
        <f>IF(2026-R$3&gt;IF($D141="",2026,$D141),IF(R$3=12,0.1*$G141,""),IF(2026-R$4&lt;$C141,"",R$4*$G141))</f>
        <v>112000.00000000001</v>
      </c>
      <c r="S141" s="19">
        <f>IF(2026-S$3&gt;IF($D141="",2026,$D141),IF(S$3=12,0.1*$G141,""),IF(2026-S$4&lt;$C141,"",S$4*$G141))</f>
        <v>134000</v>
      </c>
      <c r="T141" s="19">
        <f>IF(2026-T$3&gt;IF($D141="",2026,$D141),IF(T$3=12,0.1*$G141,""),IF(2026-T$4&lt;$C141,"",T$4*$G141))</f>
        <v>168000</v>
      </c>
    </row>
    <row r="142" spans="1:20" s="18" customFormat="1" ht="12" customHeight="1" x14ac:dyDescent="0.2">
      <c r="A142" s="17"/>
      <c r="B142" s="16" t="s">
        <v>295</v>
      </c>
      <c r="C142" s="13">
        <v>2017</v>
      </c>
      <c r="D142" s="13"/>
      <c r="E142" s="13">
        <v>2981</v>
      </c>
      <c r="F142" s="13">
        <v>450</v>
      </c>
      <c r="G142" s="21">
        <v>129100</v>
      </c>
      <c r="H142" s="20"/>
      <c r="I142" s="19">
        <f>IF(2026-I$3&gt;IF($D142="",2026,$D142),IF(I$3=12,0.1*$G142,""),IF(2026-I$4&lt;$C142,"",I$4*$G142))</f>
        <v>12910</v>
      </c>
      <c r="J142" s="19">
        <f>IF(2026-J$3&gt;IF($D142="",2026,$D142),IF(J$3=12,0.1*$G142,""),IF(2026-J$4&lt;$C142,"",J$4*$G142))</f>
        <v>16783</v>
      </c>
      <c r="K142" s="19">
        <f>IF(2026-K$3&gt;IF($D142="",2026,$D142),IF(K$3=12,0.1*$G142,""),IF(2026-K$4&lt;$C142,"",K$4*$G142))</f>
        <v>21947</v>
      </c>
      <c r="L142" s="19">
        <f>IF(2026-L$3&gt;IF($D142="",2026,$D142),IF(L$3=12,0.1*$G142,""),IF(2026-L$4&lt;$C142,"",L$4*$G142))</f>
        <v>24529</v>
      </c>
      <c r="M142" s="19">
        <f>IF(2026-M$3&gt;IF($D142="",2026,$D142),IF(M$3=12,0.1*$G142,""),IF(2026-M$4&lt;$C142,"",M$4*$G142))</f>
        <v>30984</v>
      </c>
      <c r="N142" s="19">
        <f>IF(2026-N$3&gt;IF($D142="",2026,$D142),IF(N$3=12,0.1*$G142,""),IF(2026-N$4&lt;$C142,"",N$4*$G142))</f>
        <v>36148</v>
      </c>
      <c r="O142" s="19">
        <f>IF(2026-O$3&gt;IF($D142="",2026,$D142),IF(O$3=12,0.1*$G142,""),IF(2026-O$4&lt;$C142,"",O$4*$G142))</f>
        <v>43894</v>
      </c>
      <c r="P142" s="19">
        <f>IF(2026-P$3&gt;IF($D142="",2026,$D142),IF(P$3=12,0.1*$G142,""),IF(2026-P$4&lt;$C142,"",P$4*$G142))</f>
        <v>50349</v>
      </c>
      <c r="Q142" s="19">
        <f>IF(2026-Q$3&gt;IF($D142="",2026,$D142),IF(Q$3=12,0.1*$G142,""),IF(2026-Q$4&lt;$C142,"",Q$4*$G142))</f>
        <v>60677</v>
      </c>
      <c r="R142" s="19">
        <f>IF(2026-R$3&gt;IF($D142="",2026,$D142),IF(R$3=12,0.1*$G142,""),IF(2026-R$4&lt;$C142,"",R$4*$G142))</f>
        <v>72296</v>
      </c>
      <c r="S142" s="19">
        <f>IF(2026-S$3&gt;IF($D142="",2026,$D142),IF(S$3=12,0.1*$G142,""),IF(2026-S$4&lt;$C142,"",S$4*$G142))</f>
        <v>86497</v>
      </c>
      <c r="T142" s="19">
        <f>IF(2026-T$3&gt;IF($D142="",2026,$D142),IF(T$3=12,0.1*$G142,""),IF(2026-T$4&lt;$C142,"",T$4*$G142))</f>
        <v>108444</v>
      </c>
    </row>
    <row r="143" spans="1:20" s="18" customFormat="1" ht="12" customHeight="1" x14ac:dyDescent="0.2">
      <c r="A143" s="17"/>
      <c r="B143" s="16" t="s">
        <v>294</v>
      </c>
      <c r="C143" s="13">
        <v>2017</v>
      </c>
      <c r="D143" s="13"/>
      <c r="E143" s="13">
        <v>3996</v>
      </c>
      <c r="F143" s="13">
        <v>500</v>
      </c>
      <c r="G143" s="21">
        <v>150100</v>
      </c>
      <c r="H143" s="20"/>
      <c r="I143" s="19">
        <f>IF(2026-I$3&gt;IF($D143="",2026,$D143),IF(I$3=12,0.1*$G143,""),IF(2026-I$4&lt;$C143,"",I$4*$G143))</f>
        <v>15010</v>
      </c>
      <c r="J143" s="19">
        <f>IF(2026-J$3&gt;IF($D143="",2026,$D143),IF(J$3=12,0.1*$G143,""),IF(2026-J$4&lt;$C143,"",J$4*$G143))</f>
        <v>19513</v>
      </c>
      <c r="K143" s="19">
        <f>IF(2026-K$3&gt;IF($D143="",2026,$D143),IF(K$3=12,0.1*$G143,""),IF(2026-K$4&lt;$C143,"",K$4*$G143))</f>
        <v>25517.000000000004</v>
      </c>
      <c r="L143" s="19">
        <f>IF(2026-L$3&gt;IF($D143="",2026,$D143),IF(L$3=12,0.1*$G143,""),IF(2026-L$4&lt;$C143,"",L$4*$G143))</f>
        <v>28519</v>
      </c>
      <c r="M143" s="19">
        <f>IF(2026-M$3&gt;IF($D143="",2026,$D143),IF(M$3=12,0.1*$G143,""),IF(2026-M$4&lt;$C143,"",M$4*$G143))</f>
        <v>36024</v>
      </c>
      <c r="N143" s="19">
        <f>IF(2026-N$3&gt;IF($D143="",2026,$D143),IF(N$3=12,0.1*$G143,""),IF(2026-N$4&lt;$C143,"",N$4*$G143))</f>
        <v>42028.000000000007</v>
      </c>
      <c r="O143" s="19">
        <f>IF(2026-O$3&gt;IF($D143="",2026,$D143),IF(O$3=12,0.1*$G143,""),IF(2026-O$4&lt;$C143,"",O$4*$G143))</f>
        <v>51034.000000000007</v>
      </c>
      <c r="P143" s="19">
        <f>IF(2026-P$3&gt;IF($D143="",2026,$D143),IF(P$3=12,0.1*$G143,""),IF(2026-P$4&lt;$C143,"",P$4*$G143))</f>
        <v>58539</v>
      </c>
      <c r="Q143" s="19">
        <f>IF(2026-Q$3&gt;IF($D143="",2026,$D143),IF(Q$3=12,0.1*$G143,""),IF(2026-Q$4&lt;$C143,"",Q$4*$G143))</f>
        <v>70547</v>
      </c>
      <c r="R143" s="19">
        <f>IF(2026-R$3&gt;IF($D143="",2026,$D143),IF(R$3=12,0.1*$G143,""),IF(2026-R$4&lt;$C143,"",R$4*$G143))</f>
        <v>84056.000000000015</v>
      </c>
      <c r="S143" s="19">
        <f>IF(2026-S$3&gt;IF($D143="",2026,$D143),IF(S$3=12,0.1*$G143,""),IF(2026-S$4&lt;$C143,"",S$4*$G143))</f>
        <v>100567</v>
      </c>
      <c r="T143" s="19">
        <f>IF(2026-T$3&gt;IF($D143="",2026,$D143),IF(T$3=12,0.1*$G143,""),IF(2026-T$4&lt;$C143,"",T$4*$G143))</f>
        <v>126084</v>
      </c>
    </row>
    <row r="144" spans="1:20" s="18" customFormat="1" ht="12" customHeight="1" x14ac:dyDescent="0.2">
      <c r="A144" s="17"/>
      <c r="B144" s="16" t="s">
        <v>293</v>
      </c>
      <c r="C144" s="13">
        <v>2017</v>
      </c>
      <c r="D144" s="13"/>
      <c r="E144" s="13">
        <v>3996</v>
      </c>
      <c r="F144" s="13">
        <v>500</v>
      </c>
      <c r="G144" s="21">
        <v>150100</v>
      </c>
      <c r="H144" s="20"/>
      <c r="I144" s="19">
        <f>IF(2026-I$3&gt;IF($D144="",2026,$D144),IF(I$3=12,0.1*$G144,""),IF(2026-I$4&lt;$C144,"",I$4*$G144))</f>
        <v>15010</v>
      </c>
      <c r="J144" s="19">
        <f>IF(2026-J$3&gt;IF($D144="",2026,$D144),IF(J$3=12,0.1*$G144,""),IF(2026-J$4&lt;$C144,"",J$4*$G144))</f>
        <v>19513</v>
      </c>
      <c r="K144" s="19">
        <f>IF(2026-K$3&gt;IF($D144="",2026,$D144),IF(K$3=12,0.1*$G144,""),IF(2026-K$4&lt;$C144,"",K$4*$G144))</f>
        <v>25517.000000000004</v>
      </c>
      <c r="L144" s="19">
        <f>IF(2026-L$3&gt;IF($D144="",2026,$D144),IF(L$3=12,0.1*$G144,""),IF(2026-L$4&lt;$C144,"",L$4*$G144))</f>
        <v>28519</v>
      </c>
      <c r="M144" s="19">
        <f>IF(2026-M$3&gt;IF($D144="",2026,$D144),IF(M$3=12,0.1*$G144,""),IF(2026-M$4&lt;$C144,"",M$4*$G144))</f>
        <v>36024</v>
      </c>
      <c r="N144" s="19">
        <f>IF(2026-N$3&gt;IF($D144="",2026,$D144),IF(N$3=12,0.1*$G144,""),IF(2026-N$4&lt;$C144,"",N$4*$G144))</f>
        <v>42028.000000000007</v>
      </c>
      <c r="O144" s="19">
        <f>IF(2026-O$3&gt;IF($D144="",2026,$D144),IF(O$3=12,0.1*$G144,""),IF(2026-O$4&lt;$C144,"",O$4*$G144))</f>
        <v>51034.000000000007</v>
      </c>
      <c r="P144" s="19">
        <f>IF(2026-P$3&gt;IF($D144="",2026,$D144),IF(P$3=12,0.1*$G144,""),IF(2026-P$4&lt;$C144,"",P$4*$G144))</f>
        <v>58539</v>
      </c>
      <c r="Q144" s="19">
        <f>IF(2026-Q$3&gt;IF($D144="",2026,$D144),IF(Q$3=12,0.1*$G144,""),IF(2026-Q$4&lt;$C144,"",Q$4*$G144))</f>
        <v>70547</v>
      </c>
      <c r="R144" s="19">
        <f>IF(2026-R$3&gt;IF($D144="",2026,$D144),IF(R$3=12,0.1*$G144,""),IF(2026-R$4&lt;$C144,"",R$4*$G144))</f>
        <v>84056.000000000015</v>
      </c>
      <c r="S144" s="19">
        <f>IF(2026-S$3&gt;IF($D144="",2026,$D144),IF(S$3=12,0.1*$G144,""),IF(2026-S$4&lt;$C144,"",S$4*$G144))</f>
        <v>100567</v>
      </c>
      <c r="T144" s="19">
        <f>IF(2026-T$3&gt;IF($D144="",2026,$D144),IF(T$3=12,0.1*$G144,""),IF(2026-T$4&lt;$C144,"",T$4*$G144))</f>
        <v>126084</v>
      </c>
    </row>
    <row r="145" spans="1:20" s="18" customFormat="1" ht="12" customHeight="1" x14ac:dyDescent="0.2">
      <c r="A145" s="17"/>
      <c r="B145" s="16" t="s">
        <v>292</v>
      </c>
      <c r="C145" s="13">
        <v>2017</v>
      </c>
      <c r="D145" s="13"/>
      <c r="E145" s="13">
        <v>3996</v>
      </c>
      <c r="F145" s="13">
        <v>500</v>
      </c>
      <c r="G145" s="21">
        <v>178500</v>
      </c>
      <c r="H145" s="20"/>
      <c r="I145" s="19">
        <f>IF(2026-I$3&gt;IF($D145="",2026,$D145),IF(I$3=12,0.1*$G145,""),IF(2026-I$4&lt;$C145,"",I$4*$G145))</f>
        <v>17850</v>
      </c>
      <c r="J145" s="19">
        <f>IF(2026-J$3&gt;IF($D145="",2026,$D145),IF(J$3=12,0.1*$G145,""),IF(2026-J$4&lt;$C145,"",J$4*$G145))</f>
        <v>23205</v>
      </c>
      <c r="K145" s="19">
        <f>IF(2026-K$3&gt;IF($D145="",2026,$D145),IF(K$3=12,0.1*$G145,""),IF(2026-K$4&lt;$C145,"",K$4*$G145))</f>
        <v>30345.000000000004</v>
      </c>
      <c r="L145" s="19">
        <f>IF(2026-L$3&gt;IF($D145="",2026,$D145),IF(L$3=12,0.1*$G145,""),IF(2026-L$4&lt;$C145,"",L$4*$G145))</f>
        <v>33915</v>
      </c>
      <c r="M145" s="19">
        <f>IF(2026-M$3&gt;IF($D145="",2026,$D145),IF(M$3=12,0.1*$G145,""),IF(2026-M$4&lt;$C145,"",M$4*$G145))</f>
        <v>42840</v>
      </c>
      <c r="N145" s="19">
        <f>IF(2026-N$3&gt;IF($D145="",2026,$D145),IF(N$3=12,0.1*$G145,""),IF(2026-N$4&lt;$C145,"",N$4*$G145))</f>
        <v>49980.000000000007</v>
      </c>
      <c r="O145" s="19">
        <f>IF(2026-O$3&gt;IF($D145="",2026,$D145),IF(O$3=12,0.1*$G145,""),IF(2026-O$4&lt;$C145,"",O$4*$G145))</f>
        <v>60690.000000000007</v>
      </c>
      <c r="P145" s="19">
        <f>IF(2026-P$3&gt;IF($D145="",2026,$D145),IF(P$3=12,0.1*$G145,""),IF(2026-P$4&lt;$C145,"",P$4*$G145))</f>
        <v>69615</v>
      </c>
      <c r="Q145" s="19">
        <f>IF(2026-Q$3&gt;IF($D145="",2026,$D145),IF(Q$3=12,0.1*$G145,""),IF(2026-Q$4&lt;$C145,"",Q$4*$G145))</f>
        <v>83895</v>
      </c>
      <c r="R145" s="19">
        <f>IF(2026-R$3&gt;IF($D145="",2026,$D145),IF(R$3=12,0.1*$G145,""),IF(2026-R$4&lt;$C145,"",R$4*$G145))</f>
        <v>99960.000000000015</v>
      </c>
      <c r="S145" s="19">
        <f>IF(2026-S$3&gt;IF($D145="",2026,$D145),IF(S$3=12,0.1*$G145,""),IF(2026-S$4&lt;$C145,"",S$4*$G145))</f>
        <v>119595</v>
      </c>
      <c r="T145" s="19">
        <f>IF(2026-T$3&gt;IF($D145="",2026,$D145),IF(T$3=12,0.1*$G145,""),IF(2026-T$4&lt;$C145,"",T$4*$G145))</f>
        <v>149940</v>
      </c>
    </row>
    <row r="146" spans="1:20" s="18" customFormat="1" ht="12" customHeight="1" x14ac:dyDescent="0.2">
      <c r="A146" s="17"/>
      <c r="B146" s="16" t="s">
        <v>291</v>
      </c>
      <c r="C146" s="13">
        <v>2017</v>
      </c>
      <c r="D146" s="13"/>
      <c r="E146" s="13">
        <v>3996</v>
      </c>
      <c r="F146" s="13">
        <v>500</v>
      </c>
      <c r="G146" s="21">
        <v>186200</v>
      </c>
      <c r="H146" s="20"/>
      <c r="I146" s="19">
        <f>IF(2026-I$3&gt;IF($D146="",2026,$D146),IF(I$3=12,0.1*$G146,""),IF(2026-I$4&lt;$C146,"",I$4*$G146))</f>
        <v>18620</v>
      </c>
      <c r="J146" s="19">
        <f>IF(2026-J$3&gt;IF($D146="",2026,$D146),IF(J$3=12,0.1*$G146,""),IF(2026-J$4&lt;$C146,"",J$4*$G146))</f>
        <v>24206</v>
      </c>
      <c r="K146" s="19">
        <f>IF(2026-K$3&gt;IF($D146="",2026,$D146),IF(K$3=12,0.1*$G146,""),IF(2026-K$4&lt;$C146,"",K$4*$G146))</f>
        <v>31654.000000000004</v>
      </c>
      <c r="L146" s="19">
        <f>IF(2026-L$3&gt;IF($D146="",2026,$D146),IF(L$3=12,0.1*$G146,""),IF(2026-L$4&lt;$C146,"",L$4*$G146))</f>
        <v>35378</v>
      </c>
      <c r="M146" s="19">
        <f>IF(2026-M$3&gt;IF($D146="",2026,$D146),IF(M$3=12,0.1*$G146,""),IF(2026-M$4&lt;$C146,"",M$4*$G146))</f>
        <v>44688</v>
      </c>
      <c r="N146" s="19">
        <f>IF(2026-N$3&gt;IF($D146="",2026,$D146),IF(N$3=12,0.1*$G146,""),IF(2026-N$4&lt;$C146,"",N$4*$G146))</f>
        <v>52136.000000000007</v>
      </c>
      <c r="O146" s="19">
        <f>IF(2026-O$3&gt;IF($D146="",2026,$D146),IF(O$3=12,0.1*$G146,""),IF(2026-O$4&lt;$C146,"",O$4*$G146))</f>
        <v>63308.000000000007</v>
      </c>
      <c r="P146" s="19">
        <f>IF(2026-P$3&gt;IF($D146="",2026,$D146),IF(P$3=12,0.1*$G146,""),IF(2026-P$4&lt;$C146,"",P$4*$G146))</f>
        <v>72618</v>
      </c>
      <c r="Q146" s="19">
        <f>IF(2026-Q$3&gt;IF($D146="",2026,$D146),IF(Q$3=12,0.1*$G146,""),IF(2026-Q$4&lt;$C146,"",Q$4*$G146))</f>
        <v>87514</v>
      </c>
      <c r="R146" s="19">
        <f>IF(2026-R$3&gt;IF($D146="",2026,$D146),IF(R$3=12,0.1*$G146,""),IF(2026-R$4&lt;$C146,"",R$4*$G146))</f>
        <v>104272.00000000001</v>
      </c>
      <c r="S146" s="19">
        <f>IF(2026-S$3&gt;IF($D146="",2026,$D146),IF(S$3=12,0.1*$G146,""),IF(2026-S$4&lt;$C146,"",S$4*$G146))</f>
        <v>124754.00000000001</v>
      </c>
      <c r="T146" s="19">
        <f>IF(2026-T$3&gt;IF($D146="",2026,$D146),IF(T$3=12,0.1*$G146,""),IF(2026-T$4&lt;$C146,"",T$4*$G146))</f>
        <v>156408</v>
      </c>
    </row>
    <row r="147" spans="1:20" s="18" customFormat="1" ht="12" customHeight="1" x14ac:dyDescent="0.2">
      <c r="A147" s="17"/>
      <c r="B147" s="16" t="s">
        <v>290</v>
      </c>
      <c r="C147" s="13">
        <v>2017</v>
      </c>
      <c r="D147" s="13"/>
      <c r="E147" s="13">
        <v>3800</v>
      </c>
      <c r="F147" s="13">
        <v>580</v>
      </c>
      <c r="G147" s="21">
        <v>255200</v>
      </c>
      <c r="H147" s="20"/>
      <c r="I147" s="19">
        <f>IF(2026-I$3&gt;IF($D147="",2026,$D147),IF(I$3=12,0.1*$G147,""),IF(2026-I$4&lt;$C147,"",I$4*$G147))</f>
        <v>25520</v>
      </c>
      <c r="J147" s="19">
        <f>IF(2026-J$3&gt;IF($D147="",2026,$D147),IF(J$3=12,0.1*$G147,""),IF(2026-J$4&lt;$C147,"",J$4*$G147))</f>
        <v>33176</v>
      </c>
      <c r="K147" s="19">
        <f>IF(2026-K$3&gt;IF($D147="",2026,$D147),IF(K$3=12,0.1*$G147,""),IF(2026-K$4&lt;$C147,"",K$4*$G147))</f>
        <v>43384</v>
      </c>
      <c r="L147" s="19">
        <f>IF(2026-L$3&gt;IF($D147="",2026,$D147),IF(L$3=12,0.1*$G147,""),IF(2026-L$4&lt;$C147,"",L$4*$G147))</f>
        <v>48488</v>
      </c>
      <c r="M147" s="19">
        <f>IF(2026-M$3&gt;IF($D147="",2026,$D147),IF(M$3=12,0.1*$G147,""),IF(2026-M$4&lt;$C147,"",M$4*$G147))</f>
        <v>61248</v>
      </c>
      <c r="N147" s="19">
        <f>IF(2026-N$3&gt;IF($D147="",2026,$D147),IF(N$3=12,0.1*$G147,""),IF(2026-N$4&lt;$C147,"",N$4*$G147))</f>
        <v>71456</v>
      </c>
      <c r="O147" s="19">
        <f>IF(2026-O$3&gt;IF($D147="",2026,$D147),IF(O$3=12,0.1*$G147,""),IF(2026-O$4&lt;$C147,"",O$4*$G147))</f>
        <v>86768</v>
      </c>
      <c r="P147" s="19">
        <f>IF(2026-P$3&gt;IF($D147="",2026,$D147),IF(P$3=12,0.1*$G147,""),IF(2026-P$4&lt;$C147,"",P$4*$G147))</f>
        <v>99528</v>
      </c>
      <c r="Q147" s="19">
        <f>IF(2026-Q$3&gt;IF($D147="",2026,$D147),IF(Q$3=12,0.1*$G147,""),IF(2026-Q$4&lt;$C147,"",Q$4*$G147))</f>
        <v>119944</v>
      </c>
      <c r="R147" s="19">
        <f>IF(2026-R$3&gt;IF($D147="",2026,$D147),IF(R$3=12,0.1*$G147,""),IF(2026-R$4&lt;$C147,"",R$4*$G147))</f>
        <v>142912</v>
      </c>
      <c r="S147" s="19">
        <f>IF(2026-S$3&gt;IF($D147="",2026,$D147),IF(S$3=12,0.1*$G147,""),IF(2026-S$4&lt;$C147,"",S$4*$G147))</f>
        <v>170984</v>
      </c>
      <c r="T147" s="19">
        <f>IF(2026-T$3&gt;IF($D147="",2026,$D147),IF(T$3=12,0.1*$G147,""),IF(2026-T$4&lt;$C147,"",T$4*$G147))</f>
        <v>214368</v>
      </c>
    </row>
    <row r="148" spans="1:20" s="18" customFormat="1" ht="12" customHeight="1" x14ac:dyDescent="0.2">
      <c r="A148" s="17"/>
      <c r="B148" s="16" t="s">
        <v>289</v>
      </c>
      <c r="C148" s="13">
        <v>2017</v>
      </c>
      <c r="D148" s="13"/>
      <c r="E148" s="13">
        <v>3800</v>
      </c>
      <c r="F148" s="13">
        <v>700</v>
      </c>
      <c r="G148" s="21">
        <v>279800</v>
      </c>
      <c r="H148" s="20"/>
      <c r="I148" s="19">
        <f>IF(2026-I$3&gt;IF($D148="",2026,$D148),IF(I$3=12,0.1*$G148,""),IF(2026-I$4&lt;$C148,"",I$4*$G148))</f>
        <v>27980</v>
      </c>
      <c r="J148" s="19">
        <f>IF(2026-J$3&gt;IF($D148="",2026,$D148),IF(J$3=12,0.1*$G148,""),IF(2026-J$4&lt;$C148,"",J$4*$G148))</f>
        <v>36374</v>
      </c>
      <c r="K148" s="19">
        <f>IF(2026-K$3&gt;IF($D148="",2026,$D148),IF(K$3=12,0.1*$G148,""),IF(2026-K$4&lt;$C148,"",K$4*$G148))</f>
        <v>47566</v>
      </c>
      <c r="L148" s="19">
        <f>IF(2026-L$3&gt;IF($D148="",2026,$D148),IF(L$3=12,0.1*$G148,""),IF(2026-L$4&lt;$C148,"",L$4*$G148))</f>
        <v>53162</v>
      </c>
      <c r="M148" s="19">
        <f>IF(2026-M$3&gt;IF($D148="",2026,$D148),IF(M$3=12,0.1*$G148,""),IF(2026-M$4&lt;$C148,"",M$4*$G148))</f>
        <v>67152</v>
      </c>
      <c r="N148" s="19">
        <f>IF(2026-N$3&gt;IF($D148="",2026,$D148),IF(N$3=12,0.1*$G148,""),IF(2026-N$4&lt;$C148,"",N$4*$G148))</f>
        <v>78344.000000000015</v>
      </c>
      <c r="O148" s="19">
        <f>IF(2026-O$3&gt;IF($D148="",2026,$D148),IF(O$3=12,0.1*$G148,""),IF(2026-O$4&lt;$C148,"",O$4*$G148))</f>
        <v>95132</v>
      </c>
      <c r="P148" s="19">
        <f>IF(2026-P$3&gt;IF($D148="",2026,$D148),IF(P$3=12,0.1*$G148,""),IF(2026-P$4&lt;$C148,"",P$4*$G148))</f>
        <v>109122</v>
      </c>
      <c r="Q148" s="19">
        <f>IF(2026-Q$3&gt;IF($D148="",2026,$D148),IF(Q$3=12,0.1*$G148,""),IF(2026-Q$4&lt;$C148,"",Q$4*$G148))</f>
        <v>131506</v>
      </c>
      <c r="R148" s="19">
        <f>IF(2026-R$3&gt;IF($D148="",2026,$D148),IF(R$3=12,0.1*$G148,""),IF(2026-R$4&lt;$C148,"",R$4*$G148))</f>
        <v>156688.00000000003</v>
      </c>
      <c r="S148" s="19">
        <f>IF(2026-S$3&gt;IF($D148="",2026,$D148),IF(S$3=12,0.1*$G148,""),IF(2026-S$4&lt;$C148,"",S$4*$G148))</f>
        <v>187466</v>
      </c>
      <c r="T148" s="19">
        <f>IF(2026-T$3&gt;IF($D148="",2026,$D148),IF(T$3=12,0.1*$G148,""),IF(2026-T$4&lt;$C148,"",T$4*$G148))</f>
        <v>235032</v>
      </c>
    </row>
    <row r="149" spans="1:20" s="18" customFormat="1" ht="12" customHeight="1" x14ac:dyDescent="0.2">
      <c r="A149" s="17"/>
      <c r="B149" s="16" t="s">
        <v>288</v>
      </c>
      <c r="C149" s="13">
        <v>2018</v>
      </c>
      <c r="D149" s="13"/>
      <c r="E149" s="13">
        <v>2981</v>
      </c>
      <c r="F149" s="13">
        <v>370</v>
      </c>
      <c r="G149" s="21">
        <v>106400</v>
      </c>
      <c r="H149" s="20"/>
      <c r="I149" s="19">
        <f>IF(2026-I$3&gt;IF($D149="",2026,$D149),IF(I$3=12,0.1*$G149,""),IF(2026-I$4&lt;$C149,"",I$4*$G149))</f>
        <v>10640</v>
      </c>
      <c r="J149" s="19">
        <f>IF(2026-J$3&gt;IF($D149="",2026,$D149),IF(J$3=12,0.1*$G149,""),IF(2026-J$4&lt;$C149,"",J$4*$G149))</f>
        <v>13832</v>
      </c>
      <c r="K149" s="19">
        <f>IF(2026-K$3&gt;IF($D149="",2026,$D149),IF(K$3=12,0.1*$G149,""),IF(2026-K$4&lt;$C149,"",K$4*$G149))</f>
        <v>18088</v>
      </c>
      <c r="L149" s="19">
        <f>IF(2026-L$3&gt;IF($D149="",2026,$D149),IF(L$3=12,0.1*$G149,""),IF(2026-L$4&lt;$C149,"",L$4*$G149))</f>
        <v>20216</v>
      </c>
      <c r="M149" s="19">
        <f>IF(2026-M$3&gt;IF($D149="",2026,$D149),IF(M$3=12,0.1*$G149,""),IF(2026-M$4&lt;$C149,"",M$4*$G149))</f>
        <v>25536</v>
      </c>
      <c r="N149" s="19">
        <f>IF(2026-N$3&gt;IF($D149="",2026,$D149),IF(N$3=12,0.1*$G149,""),IF(2026-N$4&lt;$C149,"",N$4*$G149))</f>
        <v>29792.000000000004</v>
      </c>
      <c r="O149" s="19">
        <f>IF(2026-O$3&gt;IF($D149="",2026,$D149),IF(O$3=12,0.1*$G149,""),IF(2026-O$4&lt;$C149,"",O$4*$G149))</f>
        <v>36176</v>
      </c>
      <c r="P149" s="19">
        <f>IF(2026-P$3&gt;IF($D149="",2026,$D149),IF(P$3=12,0.1*$G149,""),IF(2026-P$4&lt;$C149,"",P$4*$G149))</f>
        <v>41496</v>
      </c>
      <c r="Q149" s="19">
        <f>IF(2026-Q$3&gt;IF($D149="",2026,$D149),IF(Q$3=12,0.1*$G149,""),IF(2026-Q$4&lt;$C149,"",Q$4*$G149))</f>
        <v>50008</v>
      </c>
      <c r="R149" s="19">
        <f>IF(2026-R$3&gt;IF($D149="",2026,$D149),IF(R$3=12,0.1*$G149,""),IF(2026-R$4&lt;$C149,"",R$4*$G149))</f>
        <v>59584.000000000007</v>
      </c>
      <c r="S149" s="19">
        <f>IF(2026-S$3&gt;IF($D149="",2026,$D149),IF(S$3=12,0.1*$G149,""),IF(2026-S$4&lt;$C149,"",S$4*$G149))</f>
        <v>71288</v>
      </c>
      <c r="T149" s="19">
        <f>IF(2026-T$3&gt;IF($D149="",2026,$D149),IF(T$3=12,0.1*$G149,""),IF(2026-T$4&lt;$C149,"",T$4*$G149))</f>
        <v>89376</v>
      </c>
    </row>
    <row r="150" spans="1:20" s="18" customFormat="1" ht="12" customHeight="1" x14ac:dyDescent="0.2">
      <c r="A150" s="17"/>
      <c r="B150" s="16" t="s">
        <v>287</v>
      </c>
      <c r="C150" s="13">
        <v>2018</v>
      </c>
      <c r="D150" s="13"/>
      <c r="E150" s="13">
        <v>2981</v>
      </c>
      <c r="F150" s="13">
        <v>370</v>
      </c>
      <c r="G150" s="21">
        <v>110300</v>
      </c>
      <c r="H150" s="20"/>
      <c r="I150" s="19">
        <f>IF(2026-I$3&gt;IF($D150="",2026,$D150),IF(I$3=12,0.1*$G150,""),IF(2026-I$4&lt;$C150,"",I$4*$G150))</f>
        <v>11030</v>
      </c>
      <c r="J150" s="19">
        <f>IF(2026-J$3&gt;IF($D150="",2026,$D150),IF(J$3=12,0.1*$G150,""),IF(2026-J$4&lt;$C150,"",J$4*$G150))</f>
        <v>14339</v>
      </c>
      <c r="K150" s="19">
        <f>IF(2026-K$3&gt;IF($D150="",2026,$D150),IF(K$3=12,0.1*$G150,""),IF(2026-K$4&lt;$C150,"",K$4*$G150))</f>
        <v>18751</v>
      </c>
      <c r="L150" s="19">
        <f>IF(2026-L$3&gt;IF($D150="",2026,$D150),IF(L$3=12,0.1*$G150,""),IF(2026-L$4&lt;$C150,"",L$4*$G150))</f>
        <v>20957</v>
      </c>
      <c r="M150" s="19">
        <f>IF(2026-M$3&gt;IF($D150="",2026,$D150),IF(M$3=12,0.1*$G150,""),IF(2026-M$4&lt;$C150,"",M$4*$G150))</f>
        <v>26472</v>
      </c>
      <c r="N150" s="19">
        <f>IF(2026-N$3&gt;IF($D150="",2026,$D150),IF(N$3=12,0.1*$G150,""),IF(2026-N$4&lt;$C150,"",N$4*$G150))</f>
        <v>30884.000000000004</v>
      </c>
      <c r="O150" s="19">
        <f>IF(2026-O$3&gt;IF($D150="",2026,$D150),IF(O$3=12,0.1*$G150,""),IF(2026-O$4&lt;$C150,"",O$4*$G150))</f>
        <v>37502</v>
      </c>
      <c r="P150" s="19">
        <f>IF(2026-P$3&gt;IF($D150="",2026,$D150),IF(P$3=12,0.1*$G150,""),IF(2026-P$4&lt;$C150,"",P$4*$G150))</f>
        <v>43017</v>
      </c>
      <c r="Q150" s="19">
        <f>IF(2026-Q$3&gt;IF($D150="",2026,$D150),IF(Q$3=12,0.1*$G150,""),IF(2026-Q$4&lt;$C150,"",Q$4*$G150))</f>
        <v>51841</v>
      </c>
      <c r="R150" s="19">
        <f>IF(2026-R$3&gt;IF($D150="",2026,$D150),IF(R$3=12,0.1*$G150,""),IF(2026-R$4&lt;$C150,"",R$4*$G150))</f>
        <v>61768.000000000007</v>
      </c>
      <c r="S150" s="19">
        <f>IF(2026-S$3&gt;IF($D150="",2026,$D150),IF(S$3=12,0.1*$G150,""),IF(2026-S$4&lt;$C150,"",S$4*$G150))</f>
        <v>73901</v>
      </c>
      <c r="T150" s="19">
        <f>IF(2026-T$3&gt;IF($D150="",2026,$D150),IF(T$3=12,0.1*$G150,""),IF(2026-T$4&lt;$C150,"",T$4*$G150))</f>
        <v>92652</v>
      </c>
    </row>
    <row r="151" spans="1:20" s="18" customFormat="1" ht="12" customHeight="1" x14ac:dyDescent="0.2">
      <c r="A151" s="17"/>
      <c r="B151" s="16" t="s">
        <v>286</v>
      </c>
      <c r="C151" s="13">
        <v>2020</v>
      </c>
      <c r="D151" s="13"/>
      <c r="E151" s="13">
        <v>2981</v>
      </c>
      <c r="F151" s="13">
        <v>385</v>
      </c>
      <c r="G151" s="21">
        <v>120600</v>
      </c>
      <c r="H151" s="20"/>
      <c r="I151" s="19">
        <f>IF(2026-I$3&gt;IF($D151="",2026,$D151),IF(I$3=12,0.1*$G151,""),IF(2026-I$4&lt;$C151,"",I$4*$G151))</f>
        <v>12060</v>
      </c>
      <c r="J151" s="19">
        <f>IF(2026-J$3&gt;IF($D151="",2026,$D151),IF(J$3=12,0.1*$G151,""),IF(2026-J$4&lt;$C151,"",J$4*$G151))</f>
        <v>15678</v>
      </c>
      <c r="K151" s="19">
        <f>IF(2026-K$3&gt;IF($D151="",2026,$D151),IF(K$3=12,0.1*$G151,""),IF(2026-K$4&lt;$C151,"",K$4*$G151))</f>
        <v>20502</v>
      </c>
      <c r="L151" s="19">
        <f>IF(2026-L$3&gt;IF($D151="",2026,$D151),IF(L$3=12,0.1*$G151,""),IF(2026-L$4&lt;$C151,"",L$4*$G151))</f>
        <v>22914</v>
      </c>
      <c r="M151" s="19">
        <f>IF(2026-M$3&gt;IF($D151="",2026,$D151),IF(M$3=12,0.1*$G151,""),IF(2026-M$4&lt;$C151,"",M$4*$G151))</f>
        <v>28944</v>
      </c>
      <c r="N151" s="19">
        <f>IF(2026-N$3&gt;IF($D151="",2026,$D151),IF(N$3=12,0.1*$G151,""),IF(2026-N$4&lt;$C151,"",N$4*$G151))</f>
        <v>33768</v>
      </c>
      <c r="O151" s="19">
        <f>IF(2026-O$3&gt;IF($D151="",2026,$D151),IF(O$3=12,0.1*$G151,""),IF(2026-O$4&lt;$C151,"",O$4*$G151))</f>
        <v>41004</v>
      </c>
      <c r="P151" s="19">
        <f>IF(2026-P$3&gt;IF($D151="",2026,$D151),IF(P$3=12,0.1*$G151,""),IF(2026-P$4&lt;$C151,"",P$4*$G151))</f>
        <v>47034</v>
      </c>
      <c r="Q151" s="19">
        <f>IF(2026-Q$3&gt;IF($D151="",2026,$D151),IF(Q$3=12,0.1*$G151,""),IF(2026-Q$4&lt;$C151,"",Q$4*$G151))</f>
        <v>56682</v>
      </c>
      <c r="R151" s="19">
        <f>IF(2026-R$3&gt;IF($D151="",2026,$D151),IF(R$3=12,0.1*$G151,""),IF(2026-R$4&lt;$C151,"",R$4*$G151))</f>
        <v>67536</v>
      </c>
      <c r="S151" s="19">
        <f>IF(2026-S$3&gt;IF($D151="",2026,$D151),IF(S$3=12,0.1*$G151,""),IF(2026-S$4&lt;$C151,"",S$4*$G151))</f>
        <v>80802</v>
      </c>
      <c r="T151" s="19">
        <f>IF(2026-T$3&gt;IF($D151="",2026,$D151),IF(T$3=12,0.1*$G151,""),IF(2026-T$4&lt;$C151,"",T$4*$G151))</f>
        <v>101304</v>
      </c>
    </row>
    <row r="152" spans="1:20" s="18" customFormat="1" ht="12" customHeight="1" x14ac:dyDescent="0.2">
      <c r="A152" s="17"/>
      <c r="B152" s="16" t="s">
        <v>285</v>
      </c>
      <c r="C152" s="13">
        <v>2020</v>
      </c>
      <c r="D152" s="13"/>
      <c r="E152" s="13">
        <v>2981</v>
      </c>
      <c r="F152" s="13">
        <v>385</v>
      </c>
      <c r="G152" s="21">
        <v>128400</v>
      </c>
      <c r="H152" s="20"/>
      <c r="I152" s="19">
        <f>IF(2026-I$3&gt;IF($D152="",2026,$D152),IF(I$3=12,0.1*$G152,""),IF(2026-I$4&lt;$C152,"",I$4*$G152))</f>
        <v>12840</v>
      </c>
      <c r="J152" s="19">
        <f>IF(2026-J$3&gt;IF($D152="",2026,$D152),IF(J$3=12,0.1*$G152,""),IF(2026-J$4&lt;$C152,"",J$4*$G152))</f>
        <v>16692</v>
      </c>
      <c r="K152" s="19">
        <f>IF(2026-K$3&gt;IF($D152="",2026,$D152),IF(K$3=12,0.1*$G152,""),IF(2026-K$4&lt;$C152,"",K$4*$G152))</f>
        <v>21828</v>
      </c>
      <c r="L152" s="19">
        <f>IF(2026-L$3&gt;IF($D152="",2026,$D152),IF(L$3=12,0.1*$G152,""),IF(2026-L$4&lt;$C152,"",L$4*$G152))</f>
        <v>24396</v>
      </c>
      <c r="M152" s="19">
        <f>IF(2026-M$3&gt;IF($D152="",2026,$D152),IF(M$3=12,0.1*$G152,""),IF(2026-M$4&lt;$C152,"",M$4*$G152))</f>
        <v>30816</v>
      </c>
      <c r="N152" s="19">
        <f>IF(2026-N$3&gt;IF($D152="",2026,$D152),IF(N$3=12,0.1*$G152,""),IF(2026-N$4&lt;$C152,"",N$4*$G152))</f>
        <v>35952</v>
      </c>
      <c r="O152" s="19">
        <f>IF(2026-O$3&gt;IF($D152="",2026,$D152),IF(O$3=12,0.1*$G152,""),IF(2026-O$4&lt;$C152,"",O$4*$G152))</f>
        <v>43656</v>
      </c>
      <c r="P152" s="19">
        <f>IF(2026-P$3&gt;IF($D152="",2026,$D152),IF(P$3=12,0.1*$G152,""),IF(2026-P$4&lt;$C152,"",P$4*$G152))</f>
        <v>50076</v>
      </c>
      <c r="Q152" s="19">
        <f>IF(2026-Q$3&gt;IF($D152="",2026,$D152),IF(Q$3=12,0.1*$G152,""),IF(2026-Q$4&lt;$C152,"",Q$4*$G152))</f>
        <v>60348</v>
      </c>
      <c r="R152" s="19">
        <f>IF(2026-R$3&gt;IF($D152="",2026,$D152),IF(R$3=12,0.1*$G152,""),IF(2026-R$4&lt;$C152,"",R$4*$G152))</f>
        <v>71904</v>
      </c>
      <c r="S152" s="19">
        <f>IF(2026-S$3&gt;IF($D152="",2026,$D152),IF(S$3=12,0.1*$G152,""),IF(2026-S$4&lt;$C152,"",S$4*$G152))</f>
        <v>86028</v>
      </c>
      <c r="T152" s="19">
        <f>IF(2026-T$3&gt;IF($D152="",2026,$D152),IF(T$3=12,0.1*$G152,""),IF(2026-T$4&lt;$C152,"",T$4*$G152))</f>
        <v>107856</v>
      </c>
    </row>
    <row r="153" spans="1:20" s="18" customFormat="1" ht="12" customHeight="1" x14ac:dyDescent="0.2">
      <c r="A153" s="17"/>
      <c r="B153" s="16" t="s">
        <v>284</v>
      </c>
      <c r="C153" s="13">
        <v>2020</v>
      </c>
      <c r="D153" s="13"/>
      <c r="E153" s="13">
        <v>2981</v>
      </c>
      <c r="F153" s="13">
        <v>385</v>
      </c>
      <c r="G153" s="21">
        <v>106500</v>
      </c>
      <c r="H153" s="20"/>
      <c r="I153" s="19">
        <f>IF(2026-I$3&gt;IF($D153="",2026,$D153),IF(I$3=12,0.1*$G153,""),IF(2026-I$4&lt;$C153,"",I$4*$G153))</f>
        <v>10650</v>
      </c>
      <c r="J153" s="19">
        <f>IF(2026-J$3&gt;IF($D153="",2026,$D153),IF(J$3=12,0.1*$G153,""),IF(2026-J$4&lt;$C153,"",J$4*$G153))</f>
        <v>13845</v>
      </c>
      <c r="K153" s="19">
        <f>IF(2026-K$3&gt;IF($D153="",2026,$D153),IF(K$3=12,0.1*$G153,""),IF(2026-K$4&lt;$C153,"",K$4*$G153))</f>
        <v>18105</v>
      </c>
      <c r="L153" s="19">
        <f>IF(2026-L$3&gt;IF($D153="",2026,$D153),IF(L$3=12,0.1*$G153,""),IF(2026-L$4&lt;$C153,"",L$4*$G153))</f>
        <v>20235</v>
      </c>
      <c r="M153" s="19">
        <f>IF(2026-M$3&gt;IF($D153="",2026,$D153),IF(M$3=12,0.1*$G153,""),IF(2026-M$4&lt;$C153,"",M$4*$G153))</f>
        <v>25560</v>
      </c>
      <c r="N153" s="19">
        <f>IF(2026-N$3&gt;IF($D153="",2026,$D153),IF(N$3=12,0.1*$G153,""),IF(2026-N$4&lt;$C153,"",N$4*$G153))</f>
        <v>29820.000000000004</v>
      </c>
      <c r="O153" s="19">
        <f>IF(2026-O$3&gt;IF($D153="",2026,$D153),IF(O$3=12,0.1*$G153,""),IF(2026-O$4&lt;$C153,"",O$4*$G153))</f>
        <v>36210</v>
      </c>
      <c r="P153" s="19">
        <f>IF(2026-P$3&gt;IF($D153="",2026,$D153),IF(P$3=12,0.1*$G153,""),IF(2026-P$4&lt;$C153,"",P$4*$G153))</f>
        <v>41535</v>
      </c>
      <c r="Q153" s="19">
        <f>IF(2026-Q$3&gt;IF($D153="",2026,$D153),IF(Q$3=12,0.1*$G153,""),IF(2026-Q$4&lt;$C153,"",Q$4*$G153))</f>
        <v>50055</v>
      </c>
      <c r="R153" s="19">
        <f>IF(2026-R$3&gt;IF($D153="",2026,$D153),IF(R$3=12,0.1*$G153,""),IF(2026-R$4&lt;$C153,"",R$4*$G153))</f>
        <v>59640.000000000007</v>
      </c>
      <c r="S153" s="19">
        <f>IF(2026-S$3&gt;IF($D153="",2026,$D153),IF(S$3=12,0.1*$G153,""),IF(2026-S$4&lt;$C153,"",S$4*$G153))</f>
        <v>71355</v>
      </c>
      <c r="T153" s="19">
        <f>IF(2026-T$3&gt;IF($D153="",2026,$D153),IF(T$3=12,0.1*$G153,""),IF(2026-T$4&lt;$C153,"",T$4*$G153))</f>
        <v>89460</v>
      </c>
    </row>
    <row r="154" spans="1:20" s="18" customFormat="1" ht="12" customHeight="1" x14ac:dyDescent="0.2">
      <c r="A154" s="17"/>
      <c r="B154" s="16" t="s">
        <v>283</v>
      </c>
      <c r="C154" s="13">
        <v>2020</v>
      </c>
      <c r="D154" s="13"/>
      <c r="E154" s="13">
        <v>2981</v>
      </c>
      <c r="F154" s="13">
        <v>385</v>
      </c>
      <c r="G154" s="21">
        <v>114300</v>
      </c>
      <c r="H154" s="20"/>
      <c r="I154" s="19">
        <f>IF(2026-I$3&gt;IF($D154="",2026,$D154),IF(I$3=12,0.1*$G154,""),IF(2026-I$4&lt;$C154,"",I$4*$G154))</f>
        <v>11430</v>
      </c>
      <c r="J154" s="19">
        <f>IF(2026-J$3&gt;IF($D154="",2026,$D154),IF(J$3=12,0.1*$G154,""),IF(2026-J$4&lt;$C154,"",J$4*$G154))</f>
        <v>14859</v>
      </c>
      <c r="K154" s="19">
        <f>IF(2026-K$3&gt;IF($D154="",2026,$D154),IF(K$3=12,0.1*$G154,""),IF(2026-K$4&lt;$C154,"",K$4*$G154))</f>
        <v>19431</v>
      </c>
      <c r="L154" s="19">
        <f>IF(2026-L$3&gt;IF($D154="",2026,$D154),IF(L$3=12,0.1*$G154,""),IF(2026-L$4&lt;$C154,"",L$4*$G154))</f>
        <v>21717</v>
      </c>
      <c r="M154" s="19">
        <f>IF(2026-M$3&gt;IF($D154="",2026,$D154),IF(M$3=12,0.1*$G154,""),IF(2026-M$4&lt;$C154,"",M$4*$G154))</f>
        <v>27432</v>
      </c>
      <c r="N154" s="19">
        <f>IF(2026-N$3&gt;IF($D154="",2026,$D154),IF(N$3=12,0.1*$G154,""),IF(2026-N$4&lt;$C154,"",N$4*$G154))</f>
        <v>32004.000000000004</v>
      </c>
      <c r="O154" s="19">
        <f>IF(2026-O$3&gt;IF($D154="",2026,$D154),IF(O$3=12,0.1*$G154,""),IF(2026-O$4&lt;$C154,"",O$4*$G154))</f>
        <v>38862</v>
      </c>
      <c r="P154" s="19">
        <f>IF(2026-P$3&gt;IF($D154="",2026,$D154),IF(P$3=12,0.1*$G154,""),IF(2026-P$4&lt;$C154,"",P$4*$G154))</f>
        <v>44577</v>
      </c>
      <c r="Q154" s="19">
        <f>IF(2026-Q$3&gt;IF($D154="",2026,$D154),IF(Q$3=12,0.1*$G154,""),IF(2026-Q$4&lt;$C154,"",Q$4*$G154))</f>
        <v>53721</v>
      </c>
      <c r="R154" s="19">
        <f>IF(2026-R$3&gt;IF($D154="",2026,$D154),IF(R$3=12,0.1*$G154,""),IF(2026-R$4&lt;$C154,"",R$4*$G154))</f>
        <v>64008.000000000007</v>
      </c>
      <c r="S154" s="19">
        <f>IF(2026-S$3&gt;IF($D154="",2026,$D154),IF(S$3=12,0.1*$G154,""),IF(2026-S$4&lt;$C154,"",S$4*$G154))</f>
        <v>76581</v>
      </c>
      <c r="T154" s="19">
        <f>IF(2026-T$3&gt;IF($D154="",2026,$D154),IF(T$3=12,0.1*$G154,""),IF(2026-T$4&lt;$C154,"",T$4*$G154))</f>
        <v>96012</v>
      </c>
    </row>
    <row r="155" spans="1:20" s="18" customFormat="1" ht="12" customHeight="1" x14ac:dyDescent="0.2">
      <c r="A155" s="17"/>
      <c r="B155" s="16" t="s">
        <v>282</v>
      </c>
      <c r="C155" s="13">
        <v>2020</v>
      </c>
      <c r="D155" s="13"/>
      <c r="E155" s="13">
        <v>2981</v>
      </c>
      <c r="F155" s="13">
        <v>385</v>
      </c>
      <c r="G155" s="21">
        <v>128400</v>
      </c>
      <c r="H155" s="20"/>
      <c r="I155" s="19">
        <f>IF(2026-I$3&gt;IF($D155="",2026,$D155),IF(I$3=12,0.1*$G155,""),IF(2026-I$4&lt;$C155,"",I$4*$G155))</f>
        <v>12840</v>
      </c>
      <c r="J155" s="19">
        <f>IF(2026-J$3&gt;IF($D155="",2026,$D155),IF(J$3=12,0.1*$G155,""),IF(2026-J$4&lt;$C155,"",J$4*$G155))</f>
        <v>16692</v>
      </c>
      <c r="K155" s="19">
        <f>IF(2026-K$3&gt;IF($D155="",2026,$D155),IF(K$3=12,0.1*$G155,""),IF(2026-K$4&lt;$C155,"",K$4*$G155))</f>
        <v>21828</v>
      </c>
      <c r="L155" s="19">
        <f>IF(2026-L$3&gt;IF($D155="",2026,$D155),IF(L$3=12,0.1*$G155,""),IF(2026-L$4&lt;$C155,"",L$4*$G155))</f>
        <v>24396</v>
      </c>
      <c r="M155" s="19">
        <f>IF(2026-M$3&gt;IF($D155="",2026,$D155),IF(M$3=12,0.1*$G155,""),IF(2026-M$4&lt;$C155,"",M$4*$G155))</f>
        <v>30816</v>
      </c>
      <c r="N155" s="19">
        <f>IF(2026-N$3&gt;IF($D155="",2026,$D155),IF(N$3=12,0.1*$G155,""),IF(2026-N$4&lt;$C155,"",N$4*$G155))</f>
        <v>35952</v>
      </c>
      <c r="O155" s="19">
        <f>IF(2026-O$3&gt;IF($D155="",2026,$D155),IF(O$3=12,0.1*$G155,""),IF(2026-O$4&lt;$C155,"",O$4*$G155))</f>
        <v>43656</v>
      </c>
      <c r="P155" s="19">
        <f>IF(2026-P$3&gt;IF($D155="",2026,$D155),IF(P$3=12,0.1*$G155,""),IF(2026-P$4&lt;$C155,"",P$4*$G155))</f>
        <v>50076</v>
      </c>
      <c r="Q155" s="19">
        <f>IF(2026-Q$3&gt;IF($D155="",2026,$D155),IF(Q$3=12,0.1*$G155,""),IF(2026-Q$4&lt;$C155,"",Q$4*$G155))</f>
        <v>60348</v>
      </c>
      <c r="R155" s="19">
        <f>IF(2026-R$3&gt;IF($D155="",2026,$D155),IF(R$3=12,0.1*$G155,""),IF(2026-R$4&lt;$C155,"",R$4*$G155))</f>
        <v>71904</v>
      </c>
      <c r="S155" s="19">
        <f>IF(2026-S$3&gt;IF($D155="",2026,$D155),IF(S$3=12,0.1*$G155,""),IF(2026-S$4&lt;$C155,"",S$4*$G155))</f>
        <v>86028</v>
      </c>
      <c r="T155" s="19">
        <f>IF(2026-T$3&gt;IF($D155="",2026,$D155),IF(T$3=12,0.1*$G155,""),IF(2026-T$4&lt;$C155,"",T$4*$G155))</f>
        <v>107856</v>
      </c>
    </row>
    <row r="156" spans="1:20" s="18" customFormat="1" ht="12" customHeight="1" x14ac:dyDescent="0.2">
      <c r="A156" s="17"/>
      <c r="B156" s="16" t="s">
        <v>281</v>
      </c>
      <c r="C156" s="13">
        <v>2020</v>
      </c>
      <c r="D156" s="13"/>
      <c r="E156" s="13">
        <v>2981</v>
      </c>
      <c r="F156" s="13">
        <v>450</v>
      </c>
      <c r="G156" s="21">
        <v>143800</v>
      </c>
      <c r="H156" s="20"/>
      <c r="I156" s="19">
        <f>IF(2026-I$3&gt;IF($D156="",2026,$D156),IF(I$3=12,0.1*$G156,""),IF(2026-I$4&lt;$C156,"",I$4*$G156))</f>
        <v>14380</v>
      </c>
      <c r="J156" s="19">
        <f>IF(2026-J$3&gt;IF($D156="",2026,$D156),IF(J$3=12,0.1*$G156,""),IF(2026-J$4&lt;$C156,"",J$4*$G156))</f>
        <v>18694</v>
      </c>
      <c r="K156" s="19">
        <f>IF(2026-K$3&gt;IF($D156="",2026,$D156),IF(K$3=12,0.1*$G156,""),IF(2026-K$4&lt;$C156,"",K$4*$G156))</f>
        <v>24446</v>
      </c>
      <c r="L156" s="19">
        <f>IF(2026-L$3&gt;IF($D156="",2026,$D156),IF(L$3=12,0.1*$G156,""),IF(2026-L$4&lt;$C156,"",L$4*$G156))</f>
        <v>27322</v>
      </c>
      <c r="M156" s="19">
        <f>IF(2026-M$3&gt;IF($D156="",2026,$D156),IF(M$3=12,0.1*$G156,""),IF(2026-M$4&lt;$C156,"",M$4*$G156))</f>
        <v>34512</v>
      </c>
      <c r="N156" s="19">
        <f>IF(2026-N$3&gt;IF($D156="",2026,$D156),IF(N$3=12,0.1*$G156,""),IF(2026-N$4&lt;$C156,"",N$4*$G156))</f>
        <v>40264.000000000007</v>
      </c>
      <c r="O156" s="19">
        <f>IF(2026-O$3&gt;IF($D156="",2026,$D156),IF(O$3=12,0.1*$G156,""),IF(2026-O$4&lt;$C156,"",O$4*$G156))</f>
        <v>48892</v>
      </c>
      <c r="P156" s="19">
        <f>IF(2026-P$3&gt;IF($D156="",2026,$D156),IF(P$3=12,0.1*$G156,""),IF(2026-P$4&lt;$C156,"",P$4*$G156))</f>
        <v>56082</v>
      </c>
      <c r="Q156" s="19">
        <f>IF(2026-Q$3&gt;IF($D156="",2026,$D156),IF(Q$3=12,0.1*$G156,""),IF(2026-Q$4&lt;$C156,"",Q$4*$G156))</f>
        <v>67586</v>
      </c>
      <c r="R156" s="19">
        <f>IF(2026-R$3&gt;IF($D156="",2026,$D156),IF(R$3=12,0.1*$G156,""),IF(2026-R$4&lt;$C156,"",R$4*$G156))</f>
        <v>80528.000000000015</v>
      </c>
      <c r="S156" s="19">
        <f>IF(2026-S$3&gt;IF($D156="",2026,$D156),IF(S$3=12,0.1*$G156,""),IF(2026-S$4&lt;$C156,"",S$4*$G156))</f>
        <v>96346</v>
      </c>
      <c r="T156" s="19">
        <f>IF(2026-T$3&gt;IF($D156="",2026,$D156),IF(T$3=12,0.1*$G156,""),IF(2026-T$4&lt;$C156,"",T$4*$G156))</f>
        <v>120792</v>
      </c>
    </row>
    <row r="157" spans="1:20" s="18" customFormat="1" ht="12" customHeight="1" x14ac:dyDescent="0.2">
      <c r="A157" s="17"/>
      <c r="B157" s="16" t="s">
        <v>280</v>
      </c>
      <c r="C157" s="13">
        <v>2020</v>
      </c>
      <c r="D157" s="13"/>
      <c r="E157" s="13">
        <v>2981</v>
      </c>
      <c r="F157" s="13">
        <v>450</v>
      </c>
      <c r="G157" s="21">
        <v>136000</v>
      </c>
      <c r="H157" s="20"/>
      <c r="I157" s="19">
        <f>IF(2026-I$3&gt;IF($D157="",2026,$D157),IF(I$3=12,0.1*$G157,""),IF(2026-I$4&lt;$C157,"",I$4*$G157))</f>
        <v>13600</v>
      </c>
      <c r="J157" s="19">
        <f>IF(2026-J$3&gt;IF($D157="",2026,$D157),IF(J$3=12,0.1*$G157,""),IF(2026-J$4&lt;$C157,"",J$4*$G157))</f>
        <v>17680</v>
      </c>
      <c r="K157" s="19">
        <f>IF(2026-K$3&gt;IF($D157="",2026,$D157),IF(K$3=12,0.1*$G157,""),IF(2026-K$4&lt;$C157,"",K$4*$G157))</f>
        <v>23120</v>
      </c>
      <c r="L157" s="19">
        <f>IF(2026-L$3&gt;IF($D157="",2026,$D157),IF(L$3=12,0.1*$G157,""),IF(2026-L$4&lt;$C157,"",L$4*$G157))</f>
        <v>25840</v>
      </c>
      <c r="M157" s="19">
        <f>IF(2026-M$3&gt;IF($D157="",2026,$D157),IF(M$3=12,0.1*$G157,""),IF(2026-M$4&lt;$C157,"",M$4*$G157))</f>
        <v>32640</v>
      </c>
      <c r="N157" s="19">
        <f>IF(2026-N$3&gt;IF($D157="",2026,$D157),IF(N$3=12,0.1*$G157,""),IF(2026-N$4&lt;$C157,"",N$4*$G157))</f>
        <v>38080</v>
      </c>
      <c r="O157" s="19">
        <f>IF(2026-O$3&gt;IF($D157="",2026,$D157),IF(O$3=12,0.1*$G157,""),IF(2026-O$4&lt;$C157,"",O$4*$G157))</f>
        <v>46240</v>
      </c>
      <c r="P157" s="19">
        <f>IF(2026-P$3&gt;IF($D157="",2026,$D157),IF(P$3=12,0.1*$G157,""),IF(2026-P$4&lt;$C157,"",P$4*$G157))</f>
        <v>53040</v>
      </c>
      <c r="Q157" s="19">
        <f>IF(2026-Q$3&gt;IF($D157="",2026,$D157),IF(Q$3=12,0.1*$G157,""),IF(2026-Q$4&lt;$C157,"",Q$4*$G157))</f>
        <v>63920</v>
      </c>
      <c r="R157" s="19">
        <f>IF(2026-R$3&gt;IF($D157="",2026,$D157),IF(R$3=12,0.1*$G157,""),IF(2026-R$4&lt;$C157,"",R$4*$G157))</f>
        <v>76160</v>
      </c>
      <c r="S157" s="19">
        <f>IF(2026-S$3&gt;IF($D157="",2026,$D157),IF(S$3=12,0.1*$G157,""),IF(2026-S$4&lt;$C157,"",S$4*$G157))</f>
        <v>91120</v>
      </c>
      <c r="T157" s="19">
        <f>IF(2026-T$3&gt;IF($D157="",2026,$D157),IF(T$3=12,0.1*$G157,""),IF(2026-T$4&lt;$C157,"",T$4*$G157))</f>
        <v>114240</v>
      </c>
    </row>
    <row r="158" spans="1:20" s="18" customFormat="1" ht="12" customHeight="1" x14ac:dyDescent="0.2">
      <c r="A158" s="17"/>
      <c r="B158" s="16" t="s">
        <v>279</v>
      </c>
      <c r="C158" s="13">
        <v>2020</v>
      </c>
      <c r="D158" s="13"/>
      <c r="E158" s="13">
        <v>2981</v>
      </c>
      <c r="F158" s="13">
        <v>450</v>
      </c>
      <c r="G158" s="21">
        <v>129700</v>
      </c>
      <c r="H158" s="20"/>
      <c r="I158" s="19">
        <f>IF(2026-I$3&gt;IF($D158="",2026,$D158),IF(I$3=12,0.1*$G158,""),IF(2026-I$4&lt;$C158,"",I$4*$G158))</f>
        <v>12970</v>
      </c>
      <c r="J158" s="19">
        <f>IF(2026-J$3&gt;IF($D158="",2026,$D158),IF(J$3=12,0.1*$G158,""),IF(2026-J$4&lt;$C158,"",J$4*$G158))</f>
        <v>16861</v>
      </c>
      <c r="K158" s="19">
        <f>IF(2026-K$3&gt;IF($D158="",2026,$D158),IF(K$3=12,0.1*$G158,""),IF(2026-K$4&lt;$C158,"",K$4*$G158))</f>
        <v>22049</v>
      </c>
      <c r="L158" s="19">
        <f>IF(2026-L$3&gt;IF($D158="",2026,$D158),IF(L$3=12,0.1*$G158,""),IF(2026-L$4&lt;$C158,"",L$4*$G158))</f>
        <v>24643</v>
      </c>
      <c r="M158" s="19">
        <f>IF(2026-M$3&gt;IF($D158="",2026,$D158),IF(M$3=12,0.1*$G158,""),IF(2026-M$4&lt;$C158,"",M$4*$G158))</f>
        <v>31128</v>
      </c>
      <c r="N158" s="19">
        <f>IF(2026-N$3&gt;IF($D158="",2026,$D158),IF(N$3=12,0.1*$G158,""),IF(2026-N$4&lt;$C158,"",N$4*$G158))</f>
        <v>36316</v>
      </c>
      <c r="O158" s="19">
        <f>IF(2026-O$3&gt;IF($D158="",2026,$D158),IF(O$3=12,0.1*$G158,""),IF(2026-O$4&lt;$C158,"",O$4*$G158))</f>
        <v>44098</v>
      </c>
      <c r="P158" s="19">
        <f>IF(2026-P$3&gt;IF($D158="",2026,$D158),IF(P$3=12,0.1*$G158,""),IF(2026-P$4&lt;$C158,"",P$4*$G158))</f>
        <v>50583</v>
      </c>
      <c r="Q158" s="19">
        <f>IF(2026-Q$3&gt;IF($D158="",2026,$D158),IF(Q$3=12,0.1*$G158,""),IF(2026-Q$4&lt;$C158,"",Q$4*$G158))</f>
        <v>60959</v>
      </c>
      <c r="R158" s="19">
        <f>IF(2026-R$3&gt;IF($D158="",2026,$D158),IF(R$3=12,0.1*$G158,""),IF(2026-R$4&lt;$C158,"",R$4*$G158))</f>
        <v>72632</v>
      </c>
      <c r="S158" s="19">
        <f>IF(2026-S$3&gt;IF($D158="",2026,$D158),IF(S$3=12,0.1*$G158,""),IF(2026-S$4&lt;$C158,"",S$4*$G158))</f>
        <v>86899</v>
      </c>
      <c r="T158" s="19">
        <f>IF(2026-T$3&gt;IF($D158="",2026,$D158),IF(T$3=12,0.1*$G158,""),IF(2026-T$4&lt;$C158,"",T$4*$G158))</f>
        <v>108948</v>
      </c>
    </row>
    <row r="159" spans="1:20" s="18" customFormat="1" ht="12" customHeight="1" x14ac:dyDescent="0.2">
      <c r="A159" s="17"/>
      <c r="B159" s="16" t="s">
        <v>278</v>
      </c>
      <c r="C159" s="13">
        <v>2020</v>
      </c>
      <c r="D159" s="13"/>
      <c r="E159" s="13">
        <v>2981</v>
      </c>
      <c r="F159" s="13">
        <v>450</v>
      </c>
      <c r="G159" s="21">
        <v>121700</v>
      </c>
      <c r="H159" s="20"/>
      <c r="I159" s="19">
        <f>IF(2026-I$3&gt;IF($D159="",2026,$D159),IF(I$3=12,0.1*$G159,""),IF(2026-I$4&lt;$C159,"",I$4*$G159))</f>
        <v>12170</v>
      </c>
      <c r="J159" s="19">
        <f>IF(2026-J$3&gt;IF($D159="",2026,$D159),IF(J$3=12,0.1*$G159,""),IF(2026-J$4&lt;$C159,"",J$4*$G159))</f>
        <v>15821</v>
      </c>
      <c r="K159" s="19">
        <f>IF(2026-K$3&gt;IF($D159="",2026,$D159),IF(K$3=12,0.1*$G159,""),IF(2026-K$4&lt;$C159,"",K$4*$G159))</f>
        <v>20689</v>
      </c>
      <c r="L159" s="19">
        <f>IF(2026-L$3&gt;IF($D159="",2026,$D159),IF(L$3=12,0.1*$G159,""),IF(2026-L$4&lt;$C159,"",L$4*$G159))</f>
        <v>23123</v>
      </c>
      <c r="M159" s="19">
        <f>IF(2026-M$3&gt;IF($D159="",2026,$D159),IF(M$3=12,0.1*$G159,""),IF(2026-M$4&lt;$C159,"",M$4*$G159))</f>
        <v>29208</v>
      </c>
      <c r="N159" s="19">
        <f>IF(2026-N$3&gt;IF($D159="",2026,$D159),IF(N$3=12,0.1*$G159,""),IF(2026-N$4&lt;$C159,"",N$4*$G159))</f>
        <v>34076</v>
      </c>
      <c r="O159" s="19">
        <f>IF(2026-O$3&gt;IF($D159="",2026,$D159),IF(O$3=12,0.1*$G159,""),IF(2026-O$4&lt;$C159,"",O$4*$G159))</f>
        <v>41378</v>
      </c>
      <c r="P159" s="19">
        <f>IF(2026-P$3&gt;IF($D159="",2026,$D159),IF(P$3=12,0.1*$G159,""),IF(2026-P$4&lt;$C159,"",P$4*$G159))</f>
        <v>47463</v>
      </c>
      <c r="Q159" s="19">
        <f>IF(2026-Q$3&gt;IF($D159="",2026,$D159),IF(Q$3=12,0.1*$G159,""),IF(2026-Q$4&lt;$C159,"",Q$4*$G159))</f>
        <v>57199</v>
      </c>
      <c r="R159" s="19">
        <f>IF(2026-R$3&gt;IF($D159="",2026,$D159),IF(R$3=12,0.1*$G159,""),IF(2026-R$4&lt;$C159,"",R$4*$G159))</f>
        <v>68152</v>
      </c>
      <c r="S159" s="19">
        <f>IF(2026-S$3&gt;IF($D159="",2026,$D159),IF(S$3=12,0.1*$G159,""),IF(2026-S$4&lt;$C159,"",S$4*$G159))</f>
        <v>81539</v>
      </c>
      <c r="T159" s="19">
        <f>IF(2026-T$3&gt;IF($D159="",2026,$D159),IF(T$3=12,0.1*$G159,""),IF(2026-T$4&lt;$C159,"",T$4*$G159))</f>
        <v>102228</v>
      </c>
    </row>
    <row r="160" spans="1:20" s="18" customFormat="1" ht="12" customHeight="1" x14ac:dyDescent="0.2">
      <c r="A160" s="17"/>
      <c r="B160" s="16" t="s">
        <v>277</v>
      </c>
      <c r="C160" s="13">
        <v>2020</v>
      </c>
      <c r="D160" s="13"/>
      <c r="E160" s="13">
        <v>2981</v>
      </c>
      <c r="F160" s="13">
        <v>450</v>
      </c>
      <c r="G160" s="21">
        <v>143800</v>
      </c>
      <c r="H160" s="20"/>
      <c r="I160" s="19">
        <f>IF(2026-I$3&gt;IF($D160="",2026,$D160),IF(I$3=12,0.1*$G160,""),IF(2026-I$4&lt;$C160,"",I$4*$G160))</f>
        <v>14380</v>
      </c>
      <c r="J160" s="19">
        <f>IF(2026-J$3&gt;IF($D160="",2026,$D160),IF(J$3=12,0.1*$G160,""),IF(2026-J$4&lt;$C160,"",J$4*$G160))</f>
        <v>18694</v>
      </c>
      <c r="K160" s="19">
        <f>IF(2026-K$3&gt;IF($D160="",2026,$D160),IF(K$3=12,0.1*$G160,""),IF(2026-K$4&lt;$C160,"",K$4*$G160))</f>
        <v>24446</v>
      </c>
      <c r="L160" s="19">
        <f>IF(2026-L$3&gt;IF($D160="",2026,$D160),IF(L$3=12,0.1*$G160,""),IF(2026-L$4&lt;$C160,"",L$4*$G160))</f>
        <v>27322</v>
      </c>
      <c r="M160" s="19">
        <f>IF(2026-M$3&gt;IF($D160="",2026,$D160),IF(M$3=12,0.1*$G160,""),IF(2026-M$4&lt;$C160,"",M$4*$G160))</f>
        <v>34512</v>
      </c>
      <c r="N160" s="19">
        <f>IF(2026-N$3&gt;IF($D160="",2026,$D160),IF(N$3=12,0.1*$G160,""),IF(2026-N$4&lt;$C160,"",N$4*$G160))</f>
        <v>40264.000000000007</v>
      </c>
      <c r="O160" s="19">
        <f>IF(2026-O$3&gt;IF($D160="",2026,$D160),IF(O$3=12,0.1*$G160,""),IF(2026-O$4&lt;$C160,"",O$4*$G160))</f>
        <v>48892</v>
      </c>
      <c r="P160" s="19">
        <f>IF(2026-P$3&gt;IF($D160="",2026,$D160),IF(P$3=12,0.1*$G160,""),IF(2026-P$4&lt;$C160,"",P$4*$G160))</f>
        <v>56082</v>
      </c>
      <c r="Q160" s="19">
        <f>IF(2026-Q$3&gt;IF($D160="",2026,$D160),IF(Q$3=12,0.1*$G160,""),IF(2026-Q$4&lt;$C160,"",Q$4*$G160))</f>
        <v>67586</v>
      </c>
      <c r="R160" s="19">
        <f>IF(2026-R$3&gt;IF($D160="",2026,$D160),IF(R$3=12,0.1*$G160,""),IF(2026-R$4&lt;$C160,"",R$4*$G160))</f>
        <v>80528.000000000015</v>
      </c>
      <c r="S160" s="19">
        <f>IF(2026-S$3&gt;IF($D160="",2026,$D160),IF(S$3=12,0.1*$G160,""),IF(2026-S$4&lt;$C160,"",S$4*$G160))</f>
        <v>96346</v>
      </c>
      <c r="T160" s="19">
        <f>IF(2026-T$3&gt;IF($D160="",2026,$D160),IF(T$3=12,0.1*$G160,""),IF(2026-T$4&lt;$C160,"",T$4*$G160))</f>
        <v>120792</v>
      </c>
    </row>
    <row r="161" spans="1:21" s="18" customFormat="1" ht="12" customHeight="1" x14ac:dyDescent="0.2">
      <c r="A161" s="17"/>
      <c r="B161" s="16" t="s">
        <v>276</v>
      </c>
      <c r="C161" s="13">
        <v>2020</v>
      </c>
      <c r="D161" s="13"/>
      <c r="E161" s="13">
        <v>2981</v>
      </c>
      <c r="F161" s="13">
        <v>450</v>
      </c>
      <c r="G161" s="21">
        <v>182600</v>
      </c>
      <c r="H161" s="20"/>
      <c r="I161" s="19">
        <f>IF(2026-I$3&gt;IF($D161="",2026,$D161),IF(I$3=12,0.1*$G161,""),IF(2026-I$4&lt;$C161,"",I$4*$G161))</f>
        <v>18260</v>
      </c>
      <c r="J161" s="19">
        <f>IF(2026-J$3&gt;IF($D161="",2026,$D161),IF(J$3=12,0.1*$G161,""),IF(2026-J$4&lt;$C161,"",J$4*$G161))</f>
        <v>23738</v>
      </c>
      <c r="K161" s="19">
        <f>IF(2026-K$3&gt;IF($D161="",2026,$D161),IF(K$3=12,0.1*$G161,""),IF(2026-K$4&lt;$C161,"",K$4*$G161))</f>
        <v>31042.000000000004</v>
      </c>
      <c r="L161" s="19">
        <f>IF(2026-L$3&gt;IF($D161="",2026,$D161),IF(L$3=12,0.1*$G161,""),IF(2026-L$4&lt;$C161,"",L$4*$G161))</f>
        <v>34694</v>
      </c>
      <c r="M161" s="19">
        <f>IF(2026-M$3&gt;IF($D161="",2026,$D161),IF(M$3=12,0.1*$G161,""),IF(2026-M$4&lt;$C161,"",M$4*$G161))</f>
        <v>43824</v>
      </c>
      <c r="N161" s="19">
        <f>IF(2026-N$3&gt;IF($D161="",2026,$D161),IF(N$3=12,0.1*$G161,""),IF(2026-N$4&lt;$C161,"",N$4*$G161))</f>
        <v>51128.000000000007</v>
      </c>
      <c r="O161" s="19">
        <f>IF(2026-O$3&gt;IF($D161="",2026,$D161),IF(O$3=12,0.1*$G161,""),IF(2026-O$4&lt;$C161,"",O$4*$G161))</f>
        <v>62084.000000000007</v>
      </c>
      <c r="P161" s="19">
        <f>IF(2026-P$3&gt;IF($D161="",2026,$D161),IF(P$3=12,0.1*$G161,""),IF(2026-P$4&lt;$C161,"",P$4*$G161))</f>
        <v>71214</v>
      </c>
      <c r="Q161" s="19">
        <f>IF(2026-Q$3&gt;IF($D161="",2026,$D161),IF(Q$3=12,0.1*$G161,""),IF(2026-Q$4&lt;$C161,"",Q$4*$G161))</f>
        <v>85822</v>
      </c>
      <c r="R161" s="19">
        <f>IF(2026-R$3&gt;IF($D161="",2026,$D161),IF(R$3=12,0.1*$G161,""),IF(2026-R$4&lt;$C161,"",R$4*$G161))</f>
        <v>102256.00000000001</v>
      </c>
      <c r="S161" s="19">
        <f>IF(2026-S$3&gt;IF($D161="",2026,$D161),IF(S$3=12,0.1*$G161,""),IF(2026-S$4&lt;$C161,"",S$4*$G161))</f>
        <v>122342.00000000001</v>
      </c>
      <c r="T161" s="19">
        <f>IF(2026-T$3&gt;IF($D161="",2026,$D161),IF(T$3=12,0.1*$G161,""),IF(2026-T$4&lt;$C161,"",T$4*$G161))</f>
        <v>153384</v>
      </c>
    </row>
    <row r="162" spans="1:21" s="18" customFormat="1" ht="12" customHeight="1" x14ac:dyDescent="0.2">
      <c r="A162" s="17"/>
      <c r="B162" s="16" t="s">
        <v>275</v>
      </c>
      <c r="C162" s="13">
        <v>2020</v>
      </c>
      <c r="D162" s="13"/>
      <c r="E162" s="13">
        <v>3745</v>
      </c>
      <c r="F162" s="13">
        <v>580</v>
      </c>
      <c r="G162" s="21">
        <v>198400</v>
      </c>
      <c r="H162" s="20"/>
      <c r="I162" s="19">
        <f>IF(2026-I$3&gt;IF($D162="",2026,$D162),IF(I$3=12,0.1*$G162,""),IF(2026-I$4&lt;$C162,"",I$4*$G162))</f>
        <v>19840</v>
      </c>
      <c r="J162" s="19">
        <f>IF(2026-J$3&gt;IF($D162="",2026,$D162),IF(J$3=12,0.1*$G162,""),IF(2026-J$4&lt;$C162,"",J$4*$G162))</f>
        <v>25792</v>
      </c>
      <c r="K162" s="19">
        <f>IF(2026-K$3&gt;IF($D162="",2026,$D162),IF(K$3=12,0.1*$G162,""),IF(2026-K$4&lt;$C162,"",K$4*$G162))</f>
        <v>33728</v>
      </c>
      <c r="L162" s="19">
        <f>IF(2026-L$3&gt;IF($D162="",2026,$D162),IF(L$3=12,0.1*$G162,""),IF(2026-L$4&lt;$C162,"",L$4*$G162))</f>
        <v>37696</v>
      </c>
      <c r="M162" s="19">
        <f>IF(2026-M$3&gt;IF($D162="",2026,$D162),IF(M$3=12,0.1*$G162,""),IF(2026-M$4&lt;$C162,"",M$4*$G162))</f>
        <v>47616</v>
      </c>
      <c r="N162" s="19">
        <f>IF(2026-N$3&gt;IF($D162="",2026,$D162),IF(N$3=12,0.1*$G162,""),IF(2026-N$4&lt;$C162,"",N$4*$G162))</f>
        <v>55552.000000000007</v>
      </c>
      <c r="O162" s="19">
        <f>IF(2026-O$3&gt;IF($D162="",2026,$D162),IF(O$3=12,0.1*$G162,""),IF(2026-O$4&lt;$C162,"",O$4*$G162))</f>
        <v>67456</v>
      </c>
      <c r="P162" s="19">
        <f>IF(2026-P$3&gt;IF($D162="",2026,$D162),IF(P$3=12,0.1*$G162,""),IF(2026-P$4&lt;$C162,"",P$4*$G162))</f>
        <v>77376</v>
      </c>
      <c r="Q162" s="19">
        <f>IF(2026-Q$3&gt;IF($D162="",2026,$D162),IF(Q$3=12,0.1*$G162,""),IF(2026-Q$4&lt;$C162,"",Q$4*$G162))</f>
        <v>93248</v>
      </c>
      <c r="R162" s="19">
        <f>IF(2026-R$3&gt;IF($D162="",2026,$D162),IF(R$3=12,0.1*$G162,""),IF(2026-R$4&lt;$C162,"",R$4*$G162))</f>
        <v>111104.00000000001</v>
      </c>
      <c r="S162" s="19">
        <f>IF(2026-S$3&gt;IF($D162="",2026,$D162),IF(S$3=12,0.1*$G162,""),IF(2026-S$4&lt;$C162,"",S$4*$G162))</f>
        <v>132928</v>
      </c>
      <c r="T162" s="19">
        <f>IF(2026-T$3&gt;IF($D162="",2026,$D162),IF(T$3=12,0.1*$G162,""),IF(2026-T$4&lt;$C162,"",T$4*$G162))</f>
        <v>166656</v>
      </c>
    </row>
    <row r="163" spans="1:21" s="18" customFormat="1" ht="12" customHeight="1" x14ac:dyDescent="0.2">
      <c r="A163" s="17"/>
      <c r="B163" s="16" t="s">
        <v>274</v>
      </c>
      <c r="C163" s="13">
        <v>2020</v>
      </c>
      <c r="D163" s="13"/>
      <c r="E163" s="13">
        <v>3745</v>
      </c>
      <c r="F163" s="13">
        <v>580</v>
      </c>
      <c r="G163" s="21">
        <v>184900</v>
      </c>
      <c r="H163" s="20"/>
      <c r="I163" s="19">
        <f>IF(2026-I$3&gt;IF($D163="",2026,$D163),IF(I$3=12,0.1*$G163,""),IF(2026-I$4&lt;$C163,"",I$4*$G163))</f>
        <v>18490</v>
      </c>
      <c r="J163" s="19">
        <f>IF(2026-J$3&gt;IF($D163="",2026,$D163),IF(J$3=12,0.1*$G163,""),IF(2026-J$4&lt;$C163,"",J$4*$G163))</f>
        <v>24037</v>
      </c>
      <c r="K163" s="19">
        <f>IF(2026-K$3&gt;IF($D163="",2026,$D163),IF(K$3=12,0.1*$G163,""),IF(2026-K$4&lt;$C163,"",K$4*$G163))</f>
        <v>31433.000000000004</v>
      </c>
      <c r="L163" s="19">
        <f>IF(2026-L$3&gt;IF($D163="",2026,$D163),IF(L$3=12,0.1*$G163,""),IF(2026-L$4&lt;$C163,"",L$4*$G163))</f>
        <v>35131</v>
      </c>
      <c r="M163" s="19">
        <f>IF(2026-M$3&gt;IF($D163="",2026,$D163),IF(M$3=12,0.1*$G163,""),IF(2026-M$4&lt;$C163,"",M$4*$G163))</f>
        <v>44376</v>
      </c>
      <c r="N163" s="19">
        <f>IF(2026-N$3&gt;IF($D163="",2026,$D163),IF(N$3=12,0.1*$G163,""),IF(2026-N$4&lt;$C163,"",N$4*$G163))</f>
        <v>51772.000000000007</v>
      </c>
      <c r="O163" s="19">
        <f>IF(2026-O$3&gt;IF($D163="",2026,$D163),IF(O$3=12,0.1*$G163,""),IF(2026-O$4&lt;$C163,"",O$4*$G163))</f>
        <v>62866.000000000007</v>
      </c>
      <c r="P163" s="19">
        <f>IF(2026-P$3&gt;IF($D163="",2026,$D163),IF(P$3=12,0.1*$G163,""),IF(2026-P$4&lt;$C163,"",P$4*$G163))</f>
        <v>72111</v>
      </c>
      <c r="Q163" s="19">
        <f>IF(2026-Q$3&gt;IF($D163="",2026,$D163),IF(Q$3=12,0.1*$G163,""),IF(2026-Q$4&lt;$C163,"",Q$4*$G163))</f>
        <v>86903</v>
      </c>
      <c r="R163" s="19">
        <f>IF(2026-R$3&gt;IF($D163="",2026,$D163),IF(R$3=12,0.1*$G163,""),IF(2026-R$4&lt;$C163,"",R$4*$G163))</f>
        <v>103544.00000000001</v>
      </c>
      <c r="S163" s="19">
        <f>IF(2026-S$3&gt;IF($D163="",2026,$D163),IF(S$3=12,0.1*$G163,""),IF(2026-S$4&lt;$C163,"",S$4*$G163))</f>
        <v>123883.00000000001</v>
      </c>
      <c r="T163" s="19">
        <f>IF(2026-T$3&gt;IF($D163="",2026,$D163),IF(T$3=12,0.1*$G163,""),IF(2026-T$4&lt;$C163,"",T$4*$G163))</f>
        <v>155316</v>
      </c>
    </row>
    <row r="164" spans="1:21" s="18" customFormat="1" ht="12" customHeight="1" x14ac:dyDescent="0.2">
      <c r="A164" s="17"/>
      <c r="B164" s="16" t="s">
        <v>273</v>
      </c>
      <c r="C164" s="13">
        <v>2020</v>
      </c>
      <c r="D164" s="13"/>
      <c r="E164" s="13">
        <v>3745</v>
      </c>
      <c r="F164" s="13">
        <v>650</v>
      </c>
      <c r="G164" s="21">
        <v>231000</v>
      </c>
      <c r="H164" s="20"/>
      <c r="I164" s="19">
        <f>IF(2026-I$3&gt;IF($D164="",2026,$D164),IF(I$3=12,0.1*$G164,""),IF(2026-I$4&lt;$C164,"",I$4*$G164))</f>
        <v>23100</v>
      </c>
      <c r="J164" s="19">
        <f>IF(2026-J$3&gt;IF($D164="",2026,$D164),IF(J$3=12,0.1*$G164,""),IF(2026-J$4&lt;$C164,"",J$4*$G164))</f>
        <v>30030</v>
      </c>
      <c r="K164" s="19">
        <f>IF(2026-K$3&gt;IF($D164="",2026,$D164),IF(K$3=12,0.1*$G164,""),IF(2026-K$4&lt;$C164,"",K$4*$G164))</f>
        <v>39270</v>
      </c>
      <c r="L164" s="19">
        <f>IF(2026-L$3&gt;IF($D164="",2026,$D164),IF(L$3=12,0.1*$G164,""),IF(2026-L$4&lt;$C164,"",L$4*$G164))</f>
        <v>43890</v>
      </c>
      <c r="M164" s="19">
        <f>IF(2026-M$3&gt;IF($D164="",2026,$D164),IF(M$3=12,0.1*$G164,""),IF(2026-M$4&lt;$C164,"",M$4*$G164))</f>
        <v>55440</v>
      </c>
      <c r="N164" s="19">
        <f>IF(2026-N$3&gt;IF($D164="",2026,$D164),IF(N$3=12,0.1*$G164,""),IF(2026-N$4&lt;$C164,"",N$4*$G164))</f>
        <v>64680.000000000007</v>
      </c>
      <c r="O164" s="19">
        <f>IF(2026-O$3&gt;IF($D164="",2026,$D164),IF(O$3=12,0.1*$G164,""),IF(2026-O$4&lt;$C164,"",O$4*$G164))</f>
        <v>78540</v>
      </c>
      <c r="P164" s="19">
        <f>IF(2026-P$3&gt;IF($D164="",2026,$D164),IF(P$3=12,0.1*$G164,""),IF(2026-P$4&lt;$C164,"",P$4*$G164))</f>
        <v>90090</v>
      </c>
      <c r="Q164" s="19">
        <f>IF(2026-Q$3&gt;IF($D164="",2026,$D164),IF(Q$3=12,0.1*$G164,""),IF(2026-Q$4&lt;$C164,"",Q$4*$G164))</f>
        <v>108570</v>
      </c>
      <c r="R164" s="19">
        <f>IF(2026-R$3&gt;IF($D164="",2026,$D164),IF(R$3=12,0.1*$G164,""),IF(2026-R$4&lt;$C164,"",R$4*$G164))</f>
        <v>129360.00000000001</v>
      </c>
      <c r="S164" s="19">
        <f>IF(2026-S$3&gt;IF($D164="",2026,$D164),IF(S$3=12,0.1*$G164,""),IF(2026-S$4&lt;$C164,"",S$4*$G164))</f>
        <v>154770</v>
      </c>
      <c r="T164" s="19">
        <f>IF(2026-T$3&gt;IF($D164="",2026,$D164),IF(T$3=12,0.1*$G164,""),IF(2026-T$4&lt;$C164,"",T$4*$G164))</f>
        <v>194040</v>
      </c>
    </row>
    <row r="165" spans="1:21" s="18" customFormat="1" ht="12" customHeight="1" x14ac:dyDescent="0.2">
      <c r="A165" s="17"/>
      <c r="B165" s="16" t="s">
        <v>272</v>
      </c>
      <c r="C165" s="13">
        <v>2020</v>
      </c>
      <c r="D165" s="13"/>
      <c r="E165" s="13">
        <v>3745</v>
      </c>
      <c r="F165" s="13">
        <v>650</v>
      </c>
      <c r="G165" s="21">
        <v>217500</v>
      </c>
      <c r="H165" s="20"/>
      <c r="I165" s="19">
        <f>IF(2026-I$3&gt;IF($D165="",2026,$D165),IF(I$3=12,0.1*$G165,""),IF(2026-I$4&lt;$C165,"",I$4*$G165))</f>
        <v>21750</v>
      </c>
      <c r="J165" s="19">
        <f>IF(2026-J$3&gt;IF($D165="",2026,$D165),IF(J$3=12,0.1*$G165,""),IF(2026-J$4&lt;$C165,"",J$4*$G165))</f>
        <v>28275</v>
      </c>
      <c r="K165" s="19">
        <f>IF(2026-K$3&gt;IF($D165="",2026,$D165),IF(K$3=12,0.1*$G165,""),IF(2026-K$4&lt;$C165,"",K$4*$G165))</f>
        <v>36975</v>
      </c>
      <c r="L165" s="19">
        <f>IF(2026-L$3&gt;IF($D165="",2026,$D165),IF(L$3=12,0.1*$G165,""),IF(2026-L$4&lt;$C165,"",L$4*$G165))</f>
        <v>41325</v>
      </c>
      <c r="M165" s="19">
        <f>IF(2026-M$3&gt;IF($D165="",2026,$D165),IF(M$3=12,0.1*$G165,""),IF(2026-M$4&lt;$C165,"",M$4*$G165))</f>
        <v>52200</v>
      </c>
      <c r="N165" s="19">
        <f>IF(2026-N$3&gt;IF($D165="",2026,$D165),IF(N$3=12,0.1*$G165,""),IF(2026-N$4&lt;$C165,"",N$4*$G165))</f>
        <v>60900.000000000007</v>
      </c>
      <c r="O165" s="19">
        <f>IF(2026-O$3&gt;IF($D165="",2026,$D165),IF(O$3=12,0.1*$G165,""),IF(2026-O$4&lt;$C165,"",O$4*$G165))</f>
        <v>73950</v>
      </c>
      <c r="P165" s="19">
        <f>IF(2026-P$3&gt;IF($D165="",2026,$D165),IF(P$3=12,0.1*$G165,""),IF(2026-P$4&lt;$C165,"",P$4*$G165))</f>
        <v>84825</v>
      </c>
      <c r="Q165" s="19">
        <f>IF(2026-Q$3&gt;IF($D165="",2026,$D165),IF(Q$3=12,0.1*$G165,""),IF(2026-Q$4&lt;$C165,"",Q$4*$G165))</f>
        <v>102225</v>
      </c>
      <c r="R165" s="19">
        <f>IF(2026-R$3&gt;IF($D165="",2026,$D165),IF(R$3=12,0.1*$G165,""),IF(2026-R$4&lt;$C165,"",R$4*$G165))</f>
        <v>121800.00000000001</v>
      </c>
      <c r="S165" s="19">
        <f>IF(2026-S$3&gt;IF($D165="",2026,$D165),IF(S$3=12,0.1*$G165,""),IF(2026-S$4&lt;$C165,"",S$4*$G165))</f>
        <v>145725</v>
      </c>
      <c r="T165" s="19">
        <f>IF(2026-T$3&gt;IF($D165="",2026,$D165),IF(T$3=12,0.1*$G165,""),IF(2026-T$4&lt;$C165,"",T$4*$G165))</f>
        <v>182700</v>
      </c>
    </row>
    <row r="166" spans="1:21" s="18" customFormat="1" ht="12" customHeight="1" x14ac:dyDescent="0.2">
      <c r="A166" s="17"/>
      <c r="B166" s="16" t="s">
        <v>271</v>
      </c>
      <c r="C166" s="13">
        <v>2021</v>
      </c>
      <c r="D166" s="13"/>
      <c r="E166" s="13">
        <v>2981</v>
      </c>
      <c r="F166" s="13">
        <v>480</v>
      </c>
      <c r="G166" s="21">
        <v>165600</v>
      </c>
      <c r="H166" s="20"/>
      <c r="I166" s="19">
        <f>IF(2026-I$3&gt;IF($D166="",2026,$D166),IF(I$3=12,0.1*$G166,""),IF(2026-I$4&lt;$C166,"",I$4*$G166))</f>
        <v>16560</v>
      </c>
      <c r="J166" s="19">
        <f>IF(2026-J$3&gt;IF($D166="",2026,$D166),IF(J$3=12,0.1*$G166,""),IF(2026-J$4&lt;$C166,"",J$4*$G166))</f>
        <v>21528</v>
      </c>
      <c r="K166" s="19">
        <f>IF(2026-K$3&gt;IF($D166="",2026,$D166),IF(K$3=12,0.1*$G166,""),IF(2026-K$4&lt;$C166,"",K$4*$G166))</f>
        <v>28152.000000000004</v>
      </c>
      <c r="L166" s="19">
        <f>IF(2026-L$3&gt;IF($D166="",2026,$D166),IF(L$3=12,0.1*$G166,""),IF(2026-L$4&lt;$C166,"",L$4*$G166))</f>
        <v>31464</v>
      </c>
      <c r="M166" s="19">
        <f>IF(2026-M$3&gt;IF($D166="",2026,$D166),IF(M$3=12,0.1*$G166,""),IF(2026-M$4&lt;$C166,"",M$4*$G166))</f>
        <v>39744</v>
      </c>
      <c r="N166" s="19">
        <f>IF(2026-N$3&gt;IF($D166="",2026,$D166),IF(N$3=12,0.1*$G166,""),IF(2026-N$4&lt;$C166,"",N$4*$G166))</f>
        <v>46368.000000000007</v>
      </c>
      <c r="O166" s="19">
        <f>IF(2026-O$3&gt;IF($D166="",2026,$D166),IF(O$3=12,0.1*$G166,""),IF(2026-O$4&lt;$C166,"",O$4*$G166))</f>
        <v>56304.000000000007</v>
      </c>
      <c r="P166" s="19">
        <f>IF(2026-P$3&gt;IF($D166="",2026,$D166),IF(P$3=12,0.1*$G166,""),IF(2026-P$4&lt;$C166,"",P$4*$G166))</f>
        <v>64584</v>
      </c>
      <c r="Q166" s="19">
        <f>IF(2026-Q$3&gt;IF($D166="",2026,$D166),IF(Q$3=12,0.1*$G166,""),IF(2026-Q$4&lt;$C166,"",Q$4*$G166))</f>
        <v>77832</v>
      </c>
      <c r="R166" s="19">
        <f>IF(2026-R$3&gt;IF($D166="",2026,$D166),IF(R$3=12,0.1*$G166,""),IF(2026-R$4&lt;$C166,"",R$4*$G166))</f>
        <v>92736.000000000015</v>
      </c>
      <c r="S166" s="19">
        <f>IF(2026-S$3&gt;IF($D166="",2026,$D166),IF(S$3=12,0.1*$G166,""),IF(2026-S$4&lt;$C166,"",S$4*$G166))</f>
        <v>110952</v>
      </c>
      <c r="T166" s="19">
        <f>IF(2026-T$3&gt;IF($D166="",2026,$D166),IF(T$3=12,0.1*$G166,""),IF(2026-T$4&lt;$C166,"",T$4*$G166))</f>
        <v>139104</v>
      </c>
    </row>
    <row r="167" spans="1:21" s="18" customFormat="1" ht="12" customHeight="1" x14ac:dyDescent="0.2">
      <c r="A167" s="17"/>
      <c r="B167" s="16" t="s">
        <v>270</v>
      </c>
      <c r="C167" s="13">
        <v>2021</v>
      </c>
      <c r="D167" s="13"/>
      <c r="E167" s="13">
        <v>2981</v>
      </c>
      <c r="F167" s="13">
        <v>480</v>
      </c>
      <c r="G167" s="21">
        <v>151800</v>
      </c>
      <c r="H167" s="20"/>
      <c r="I167" s="19">
        <f>IF(2026-I$3&gt;IF($D167="",2026,$D167),IF(I$3=12,0.1*$G167,""),IF(2026-I$4&lt;$C167,"",I$4*$G167))</f>
        <v>15180</v>
      </c>
      <c r="J167" s="19">
        <f>IF(2026-J$3&gt;IF($D167="",2026,$D167),IF(J$3=12,0.1*$G167,""),IF(2026-J$4&lt;$C167,"",J$4*$G167))</f>
        <v>19734</v>
      </c>
      <c r="K167" s="19">
        <f>IF(2026-K$3&gt;IF($D167="",2026,$D167),IF(K$3=12,0.1*$G167,""),IF(2026-K$4&lt;$C167,"",K$4*$G167))</f>
        <v>25806.000000000004</v>
      </c>
      <c r="L167" s="19">
        <f>IF(2026-L$3&gt;IF($D167="",2026,$D167),IF(L$3=12,0.1*$G167,""),IF(2026-L$4&lt;$C167,"",L$4*$G167))</f>
        <v>28842</v>
      </c>
      <c r="M167" s="19">
        <f>IF(2026-M$3&gt;IF($D167="",2026,$D167),IF(M$3=12,0.1*$G167,""),IF(2026-M$4&lt;$C167,"",M$4*$G167))</f>
        <v>36432</v>
      </c>
      <c r="N167" s="19">
        <f>IF(2026-N$3&gt;IF($D167="",2026,$D167),IF(N$3=12,0.1*$G167,""),IF(2026-N$4&lt;$C167,"",N$4*$G167))</f>
        <v>42504.000000000007</v>
      </c>
      <c r="O167" s="19">
        <f>IF(2026-O$3&gt;IF($D167="",2026,$D167),IF(O$3=12,0.1*$G167,""),IF(2026-O$4&lt;$C167,"",O$4*$G167))</f>
        <v>51612.000000000007</v>
      </c>
      <c r="P167" s="19">
        <f>IF(2026-P$3&gt;IF($D167="",2026,$D167),IF(P$3=12,0.1*$G167,""),IF(2026-P$4&lt;$C167,"",P$4*$G167))</f>
        <v>59202</v>
      </c>
      <c r="Q167" s="19">
        <f>IF(2026-Q$3&gt;IF($D167="",2026,$D167),IF(Q$3=12,0.1*$G167,""),IF(2026-Q$4&lt;$C167,"",Q$4*$G167))</f>
        <v>71346</v>
      </c>
      <c r="R167" s="19">
        <f>IF(2026-R$3&gt;IF($D167="",2026,$D167),IF(R$3=12,0.1*$G167,""),IF(2026-R$4&lt;$C167,"",R$4*$G167))</f>
        <v>85008.000000000015</v>
      </c>
      <c r="S167" s="19">
        <f>IF(2026-S$3&gt;IF($D167="",2026,$D167),IF(S$3=12,0.1*$G167,""),IF(2026-S$4&lt;$C167,"",S$4*$G167))</f>
        <v>101706</v>
      </c>
      <c r="T167" s="19">
        <f>IF(2026-T$3&gt;IF($D167="",2026,$D167),IF(T$3=12,0.1*$G167,""),IF(2026-T$4&lt;$C167,"",T$4*$G167))</f>
        <v>127512</v>
      </c>
    </row>
    <row r="168" spans="1:21" s="18" customFormat="1" ht="12" customHeight="1" x14ac:dyDescent="0.2">
      <c r="A168" s="17"/>
      <c r="B168" s="16" t="s">
        <v>269</v>
      </c>
      <c r="C168" s="13">
        <v>2021</v>
      </c>
      <c r="D168" s="13"/>
      <c r="E168" s="13">
        <v>2981</v>
      </c>
      <c r="F168" s="13">
        <v>480</v>
      </c>
      <c r="G168" s="21">
        <v>151200</v>
      </c>
      <c r="H168" s="20"/>
      <c r="I168" s="19">
        <f>IF(2026-I$3&gt;IF($D168="",2026,$D168),IF(I$3=12,0.1*$G168,""),IF(2026-I$4&lt;$C168,"",I$4*$G168))</f>
        <v>15120</v>
      </c>
      <c r="J168" s="19">
        <f>IF(2026-J$3&gt;IF($D168="",2026,$D168),IF(J$3=12,0.1*$G168,""),IF(2026-J$4&lt;$C168,"",J$4*$G168))</f>
        <v>19656</v>
      </c>
      <c r="K168" s="19">
        <f>IF(2026-K$3&gt;IF($D168="",2026,$D168),IF(K$3=12,0.1*$G168,""),IF(2026-K$4&lt;$C168,"",K$4*$G168))</f>
        <v>25704.000000000004</v>
      </c>
      <c r="L168" s="19">
        <f>IF(2026-L$3&gt;IF($D168="",2026,$D168),IF(L$3=12,0.1*$G168,""),IF(2026-L$4&lt;$C168,"",L$4*$G168))</f>
        <v>28728</v>
      </c>
      <c r="M168" s="19">
        <f>IF(2026-M$3&gt;IF($D168="",2026,$D168),IF(M$3=12,0.1*$G168,""),IF(2026-M$4&lt;$C168,"",M$4*$G168))</f>
        <v>36288</v>
      </c>
      <c r="N168" s="19">
        <f>IF(2026-N$3&gt;IF($D168="",2026,$D168),IF(N$3=12,0.1*$G168,""),IF(2026-N$4&lt;$C168,"",N$4*$G168))</f>
        <v>42336.000000000007</v>
      </c>
      <c r="O168" s="19">
        <f>IF(2026-O$3&gt;IF($D168="",2026,$D168),IF(O$3=12,0.1*$G168,""),IF(2026-O$4&lt;$C168,"",O$4*$G168))</f>
        <v>51408.000000000007</v>
      </c>
      <c r="P168" s="19">
        <f>IF(2026-P$3&gt;IF($D168="",2026,$D168),IF(P$3=12,0.1*$G168,""),IF(2026-P$4&lt;$C168,"",P$4*$G168))</f>
        <v>58968</v>
      </c>
      <c r="Q168" s="19">
        <f>IF(2026-Q$3&gt;IF($D168="",2026,$D168),IF(Q$3=12,0.1*$G168,""),IF(2026-Q$4&lt;$C168,"",Q$4*$G168))</f>
        <v>71064</v>
      </c>
      <c r="R168" s="19">
        <f>IF(2026-R$3&gt;IF($D168="",2026,$D168),IF(R$3=12,0.1*$G168,""),IF(2026-R$4&lt;$C168,"",R$4*$G168))</f>
        <v>84672.000000000015</v>
      </c>
      <c r="S168" s="19">
        <f>IF(2026-S$3&gt;IF($D168="",2026,$D168),IF(S$3=12,0.1*$G168,""),IF(2026-S$4&lt;$C168,"",S$4*$G168))</f>
        <v>101304</v>
      </c>
      <c r="T168" s="19">
        <f>IF(2026-T$3&gt;IF($D168="",2026,$D168),IF(T$3=12,0.1*$G168,""),IF(2026-T$4&lt;$C168,"",T$4*$G168))</f>
        <v>127008</v>
      </c>
    </row>
    <row r="169" spans="1:21" s="18" customFormat="1" ht="12" customHeight="1" x14ac:dyDescent="0.2">
      <c r="A169" s="17"/>
      <c r="B169" s="16" t="s">
        <v>268</v>
      </c>
      <c r="C169" s="13">
        <v>2021</v>
      </c>
      <c r="D169" s="13"/>
      <c r="E169" s="13">
        <v>2981</v>
      </c>
      <c r="F169" s="13">
        <v>480</v>
      </c>
      <c r="G169" s="21">
        <v>138100</v>
      </c>
      <c r="H169" s="20"/>
      <c r="I169" s="19">
        <f>IF(2026-I$3&gt;IF($D169="",2026,$D169),IF(I$3=12,0.1*$G169,""),IF(2026-I$4&lt;$C169,"",I$4*$G169))</f>
        <v>13810</v>
      </c>
      <c r="J169" s="19">
        <f>IF(2026-J$3&gt;IF($D169="",2026,$D169),IF(J$3=12,0.1*$G169,""),IF(2026-J$4&lt;$C169,"",J$4*$G169))</f>
        <v>17953</v>
      </c>
      <c r="K169" s="19">
        <f>IF(2026-K$3&gt;IF($D169="",2026,$D169),IF(K$3=12,0.1*$G169,""),IF(2026-K$4&lt;$C169,"",K$4*$G169))</f>
        <v>23477</v>
      </c>
      <c r="L169" s="19">
        <f>IF(2026-L$3&gt;IF($D169="",2026,$D169),IF(L$3=12,0.1*$G169,""),IF(2026-L$4&lt;$C169,"",L$4*$G169))</f>
        <v>26239</v>
      </c>
      <c r="M169" s="19">
        <f>IF(2026-M$3&gt;IF($D169="",2026,$D169),IF(M$3=12,0.1*$G169,""),IF(2026-M$4&lt;$C169,"",M$4*$G169))</f>
        <v>33144</v>
      </c>
      <c r="N169" s="19">
        <f>IF(2026-N$3&gt;IF($D169="",2026,$D169),IF(N$3=12,0.1*$G169,""),IF(2026-N$4&lt;$C169,"",N$4*$G169))</f>
        <v>38668.000000000007</v>
      </c>
      <c r="O169" s="19">
        <f>IF(2026-O$3&gt;IF($D169="",2026,$D169),IF(O$3=12,0.1*$G169,""),IF(2026-O$4&lt;$C169,"",O$4*$G169))</f>
        <v>46954</v>
      </c>
      <c r="P169" s="19">
        <f>IF(2026-P$3&gt;IF($D169="",2026,$D169),IF(P$3=12,0.1*$G169,""),IF(2026-P$4&lt;$C169,"",P$4*$G169))</f>
        <v>53859</v>
      </c>
      <c r="Q169" s="19">
        <f>IF(2026-Q$3&gt;IF($D169="",2026,$D169),IF(Q$3=12,0.1*$G169,""),IF(2026-Q$4&lt;$C169,"",Q$4*$G169))</f>
        <v>64906.999999999993</v>
      </c>
      <c r="R169" s="19">
        <f>IF(2026-R$3&gt;IF($D169="",2026,$D169),IF(R$3=12,0.1*$G169,""),IF(2026-R$4&lt;$C169,"",R$4*$G169))</f>
        <v>77336.000000000015</v>
      </c>
      <c r="S169" s="19">
        <f>IF(2026-S$3&gt;IF($D169="",2026,$D169),IF(S$3=12,0.1*$G169,""),IF(2026-S$4&lt;$C169,"",S$4*$G169))</f>
        <v>92527</v>
      </c>
      <c r="T169" s="19">
        <f>IF(2026-T$3&gt;IF($D169="",2026,$D169),IF(T$3=12,0.1*$G169,""),IF(2026-T$4&lt;$C169,"",T$4*$G169))</f>
        <v>116004</v>
      </c>
    </row>
    <row r="170" spans="1:21" s="18" customFormat="1" ht="12" customHeight="1" x14ac:dyDescent="0.2">
      <c r="A170" s="17"/>
      <c r="B170" s="16" t="s">
        <v>267</v>
      </c>
      <c r="C170" s="13">
        <v>2021</v>
      </c>
      <c r="D170" s="13"/>
      <c r="E170" s="13">
        <v>2981</v>
      </c>
      <c r="F170" s="13">
        <v>480</v>
      </c>
      <c r="G170" s="21">
        <v>165600</v>
      </c>
      <c r="H170" s="20"/>
      <c r="I170" s="19">
        <f>IF(2026-I$3&gt;IF($D170="",2026,$D170),IF(I$3=12,0.1*$G170,""),IF(2026-I$4&lt;$C170,"",I$4*$G170))</f>
        <v>16560</v>
      </c>
      <c r="J170" s="19">
        <f>IF(2026-J$3&gt;IF($D170="",2026,$D170),IF(J$3=12,0.1*$G170,""),IF(2026-J$4&lt;$C170,"",J$4*$G170))</f>
        <v>21528</v>
      </c>
      <c r="K170" s="19">
        <f>IF(2026-K$3&gt;IF($D170="",2026,$D170),IF(K$3=12,0.1*$G170,""),IF(2026-K$4&lt;$C170,"",K$4*$G170))</f>
        <v>28152.000000000004</v>
      </c>
      <c r="L170" s="19">
        <f>IF(2026-L$3&gt;IF($D170="",2026,$D170),IF(L$3=12,0.1*$G170,""),IF(2026-L$4&lt;$C170,"",L$4*$G170))</f>
        <v>31464</v>
      </c>
      <c r="M170" s="19">
        <f>IF(2026-M$3&gt;IF($D170="",2026,$D170),IF(M$3=12,0.1*$G170,""),IF(2026-M$4&lt;$C170,"",M$4*$G170))</f>
        <v>39744</v>
      </c>
      <c r="N170" s="19">
        <f>IF(2026-N$3&gt;IF($D170="",2026,$D170),IF(N$3=12,0.1*$G170,""),IF(2026-N$4&lt;$C170,"",N$4*$G170))</f>
        <v>46368.000000000007</v>
      </c>
      <c r="O170" s="19">
        <f>IF(2026-O$3&gt;IF($D170="",2026,$D170),IF(O$3=12,0.1*$G170,""),IF(2026-O$4&lt;$C170,"",O$4*$G170))</f>
        <v>56304.000000000007</v>
      </c>
      <c r="P170" s="19">
        <f>IF(2026-P$3&gt;IF($D170="",2026,$D170),IF(P$3=12,0.1*$G170,""),IF(2026-P$4&lt;$C170,"",P$4*$G170))</f>
        <v>64584</v>
      </c>
      <c r="Q170" s="19">
        <f>IF(2026-Q$3&gt;IF($D170="",2026,$D170),IF(Q$3=12,0.1*$G170,""),IF(2026-Q$4&lt;$C170,"",Q$4*$G170))</f>
        <v>77832</v>
      </c>
      <c r="R170" s="19">
        <f>IF(2026-R$3&gt;IF($D170="",2026,$D170),IF(R$3=12,0.1*$G170,""),IF(2026-R$4&lt;$C170,"",R$4*$G170))</f>
        <v>92736.000000000015</v>
      </c>
      <c r="S170" s="19">
        <f>IF(2026-S$3&gt;IF($D170="",2026,$D170),IF(S$3=12,0.1*$G170,""),IF(2026-S$4&lt;$C170,"",S$4*$G170))</f>
        <v>110952</v>
      </c>
      <c r="T170" s="19">
        <f>IF(2026-T$3&gt;IF($D170="",2026,$D170),IF(T$3=12,0.1*$G170,""),IF(2026-T$4&lt;$C170,"",T$4*$G170))</f>
        <v>139104</v>
      </c>
    </row>
    <row r="171" spans="1:21" s="18" customFormat="1" ht="12" customHeight="1" x14ac:dyDescent="0.2">
      <c r="A171" s="17"/>
      <c r="B171" s="16" t="s">
        <v>266</v>
      </c>
      <c r="C171" s="13">
        <v>2021</v>
      </c>
      <c r="D171" s="13"/>
      <c r="E171" s="13">
        <v>2981</v>
      </c>
      <c r="F171" s="13">
        <v>510</v>
      </c>
      <c r="G171" s="21">
        <v>172900</v>
      </c>
      <c r="H171" s="20"/>
      <c r="I171" s="19">
        <f>IF(2026-I$3&gt;IF($D171="",2026,$D171),IF(I$3=12,0.1*$G171,""),IF(2026-I$4&lt;$C171,"",I$4*$G171))</f>
        <v>17290</v>
      </c>
      <c r="J171" s="19">
        <f>IF(2026-J$3&gt;IF($D171="",2026,$D171),IF(J$3=12,0.1*$G171,""),IF(2026-J$4&lt;$C171,"",J$4*$G171))</f>
        <v>22477</v>
      </c>
      <c r="K171" s="19">
        <f>IF(2026-K$3&gt;IF($D171="",2026,$D171),IF(K$3=12,0.1*$G171,""),IF(2026-K$4&lt;$C171,"",K$4*$G171))</f>
        <v>29393.000000000004</v>
      </c>
      <c r="L171" s="19">
        <f>IF(2026-L$3&gt;IF($D171="",2026,$D171),IF(L$3=12,0.1*$G171,""),IF(2026-L$4&lt;$C171,"",L$4*$G171))</f>
        <v>32851</v>
      </c>
      <c r="M171" s="19">
        <f>IF(2026-M$3&gt;IF($D171="",2026,$D171),IF(M$3=12,0.1*$G171,""),IF(2026-M$4&lt;$C171,"",M$4*$G171))</f>
        <v>41496</v>
      </c>
      <c r="N171" s="19">
        <f>IF(2026-N$3&gt;IF($D171="",2026,$D171),IF(N$3=12,0.1*$G171,""),IF(2026-N$4&lt;$C171,"",N$4*$G171))</f>
        <v>48412.000000000007</v>
      </c>
      <c r="O171" s="19">
        <f>IF(2026-O$3&gt;IF($D171="",2026,$D171),IF(O$3=12,0.1*$G171,""),IF(2026-O$4&lt;$C171,"",O$4*$G171))</f>
        <v>58786.000000000007</v>
      </c>
      <c r="P171" s="19">
        <f>IF(2026-P$3&gt;IF($D171="",2026,$D171),IF(P$3=12,0.1*$G171,""),IF(2026-P$4&lt;$C171,"",P$4*$G171))</f>
        <v>67431</v>
      </c>
      <c r="Q171" s="19">
        <f>IF(2026-Q$3&gt;IF($D171="",2026,$D171),IF(Q$3=12,0.1*$G171,""),IF(2026-Q$4&lt;$C171,"",Q$4*$G171))</f>
        <v>81263</v>
      </c>
      <c r="R171" s="19">
        <f>IF(2026-R$3&gt;IF($D171="",2026,$D171),IF(R$3=12,0.1*$G171,""),IF(2026-R$4&lt;$C171,"",R$4*$G171))</f>
        <v>96824.000000000015</v>
      </c>
      <c r="S171" s="19">
        <f>IF(2026-S$3&gt;IF($D171="",2026,$D171),IF(S$3=12,0.1*$G171,""),IF(2026-S$4&lt;$C171,"",S$4*$G171))</f>
        <v>115843</v>
      </c>
      <c r="T171" s="19">
        <f>IF(2026-T$3&gt;IF($D171="",2026,$D171),IF(T$3=12,0.1*$G171,""),IF(2026-T$4&lt;$C171,"",T$4*$G171))</f>
        <v>145236</v>
      </c>
    </row>
    <row r="172" spans="1:21" s="18" customFormat="1" ht="12" customHeight="1" x14ac:dyDescent="0.2">
      <c r="A172" s="17"/>
      <c r="B172" s="16" t="s">
        <v>265</v>
      </c>
      <c r="C172" s="13">
        <v>2021</v>
      </c>
      <c r="D172" s="13"/>
      <c r="E172" s="13">
        <v>2981</v>
      </c>
      <c r="F172" s="13">
        <v>510</v>
      </c>
      <c r="G172" s="21">
        <v>172900</v>
      </c>
      <c r="H172" s="20"/>
      <c r="I172" s="19">
        <f>IF(2026-I$3&gt;IF($D172="",2026,$D172),IF(I$3=12,0.1*$G172,""),IF(2026-I$4&lt;$C172,"",I$4*$G172))</f>
        <v>17290</v>
      </c>
      <c r="J172" s="19">
        <f>IF(2026-J$3&gt;IF($D172="",2026,$D172),IF(J$3=12,0.1*$G172,""),IF(2026-J$4&lt;$C172,"",J$4*$G172))</f>
        <v>22477</v>
      </c>
      <c r="K172" s="19">
        <f>IF(2026-K$3&gt;IF($D172="",2026,$D172),IF(K$3=12,0.1*$G172,""),IF(2026-K$4&lt;$C172,"",K$4*$G172))</f>
        <v>29393.000000000004</v>
      </c>
      <c r="L172" s="19">
        <f>IF(2026-L$3&gt;IF($D172="",2026,$D172),IF(L$3=12,0.1*$G172,""),IF(2026-L$4&lt;$C172,"",L$4*$G172))</f>
        <v>32851</v>
      </c>
      <c r="M172" s="19">
        <f>IF(2026-M$3&gt;IF($D172="",2026,$D172),IF(M$3=12,0.1*$G172,""),IF(2026-M$4&lt;$C172,"",M$4*$G172))</f>
        <v>41496</v>
      </c>
      <c r="N172" s="19">
        <f>IF(2026-N$3&gt;IF($D172="",2026,$D172),IF(N$3=12,0.1*$G172,""),IF(2026-N$4&lt;$C172,"",N$4*$G172))</f>
        <v>48412.000000000007</v>
      </c>
      <c r="O172" s="19">
        <f>IF(2026-O$3&gt;IF($D172="",2026,$D172),IF(O$3=12,0.1*$G172,""),IF(2026-O$4&lt;$C172,"",O$4*$G172))</f>
        <v>58786.000000000007</v>
      </c>
      <c r="P172" s="19">
        <f>IF(2026-P$3&gt;IF($D172="",2026,$D172),IF(P$3=12,0.1*$G172,""),IF(2026-P$4&lt;$C172,"",P$4*$G172))</f>
        <v>67431</v>
      </c>
      <c r="Q172" s="19">
        <f>IF(2026-Q$3&gt;IF($D172="",2026,$D172),IF(Q$3=12,0.1*$G172,""),IF(2026-Q$4&lt;$C172,"",Q$4*$G172))</f>
        <v>81263</v>
      </c>
      <c r="R172" s="19">
        <f>IF(2026-R$3&gt;IF($D172="",2026,$D172),IF(R$3=12,0.1*$G172,""),IF(2026-R$4&lt;$C172,"",R$4*$G172))</f>
        <v>96824.000000000015</v>
      </c>
      <c r="S172" s="19">
        <f>IF(2026-S$3&gt;IF($D172="",2026,$D172),IF(S$3=12,0.1*$G172,""),IF(2026-S$4&lt;$C172,"",S$4*$G172))</f>
        <v>115843</v>
      </c>
      <c r="T172" s="19">
        <f>IF(2026-T$3&gt;IF($D172="",2026,$D172),IF(T$3=12,0.1*$G172,""),IF(2026-T$4&lt;$C172,"",T$4*$G172))</f>
        <v>145236</v>
      </c>
      <c r="U172" s="12"/>
    </row>
    <row r="173" spans="1:21" s="18" customFormat="1" ht="12" customHeight="1" x14ac:dyDescent="0.2">
      <c r="A173" s="17"/>
      <c r="B173" s="16"/>
      <c r="C173" s="13"/>
      <c r="D173" s="13"/>
      <c r="E173" s="13"/>
      <c r="F173" s="13"/>
      <c r="G173" s="21"/>
      <c r="H173" s="20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1" s="18" customFormat="1" ht="12" customHeight="1" x14ac:dyDescent="0.2">
      <c r="A174" s="17"/>
      <c r="B174" s="16" t="s">
        <v>264</v>
      </c>
      <c r="C174" s="13">
        <v>1997</v>
      </c>
      <c r="D174" s="13">
        <v>2002</v>
      </c>
      <c r="E174" s="13">
        <v>2480</v>
      </c>
      <c r="F174" s="13">
        <v>204</v>
      </c>
      <c r="G174" s="21">
        <v>32400</v>
      </c>
      <c r="H174" s="20"/>
      <c r="I174" s="19">
        <f>IF(2026-I$3&gt;IF($D174="",2026,$D174),IF(I$3=12,0.1*$G174,""),IF(2026-I$4&lt;$C174,"",I$4*$G174))</f>
        <v>3240</v>
      </c>
      <c r="J174" s="19" t="str">
        <f>IF(2026-J$3&gt;IF($D174="",2026,$D174),IF(J$3=12,0.1*$G174,""),IF(2026-J$4&lt;$C174,"",J$4*$G174))</f>
        <v/>
      </c>
      <c r="K174" s="19" t="str">
        <f>IF(2026-K$3&gt;IF($D174="",2026,$D174),IF(K$3=12,0.1*$G174,""),IF(2026-K$4&lt;$C174,"",K$4*$G174))</f>
        <v/>
      </c>
      <c r="L174" s="19" t="str">
        <f>IF(2026-L$3&gt;IF($D174="",2026,$D174),IF(L$3=12,0.1*$G174,""),IF(2026-L$4&lt;$C174,"",L$4*$G174))</f>
        <v/>
      </c>
      <c r="M174" s="19" t="str">
        <f>IF(2026-M$3&gt;IF($D174="",2026,$D174),IF(M$3=12,0.1*$G174,""),IF(2026-M$4&lt;$C174,"",M$4*$G174))</f>
        <v/>
      </c>
      <c r="N174" s="19" t="str">
        <f>IF(2026-N$3&gt;IF($D174="",2026,$D174),IF(N$3=12,0.1*$G174,""),IF(2026-N$4&lt;$C174,"",N$4*$G174))</f>
        <v/>
      </c>
      <c r="O174" s="19" t="str">
        <f>IF(2026-O$3&gt;IF($D174="",2026,$D174),IF(O$3=12,0.1*$G174,""),IF(2026-O$4&lt;$C174,"",O$4*$G174))</f>
        <v/>
      </c>
      <c r="P174" s="19" t="str">
        <f>IF(2026-P$3&gt;IF($D174="",2026,$D174),IF(P$3=12,0.1*$G174,""),IF(2026-P$4&lt;$C174,"",P$4*$G174))</f>
        <v/>
      </c>
      <c r="Q174" s="19" t="str">
        <f>IF(2026-Q$3&gt;IF($D174="",2026,$D174),IF(Q$3=12,0.1*$G174,""),IF(2026-Q$4&lt;$C174,"",Q$4*$G174))</f>
        <v/>
      </c>
      <c r="R174" s="19" t="str">
        <f>IF(2026-R$3&gt;IF($D174="",2026,$D174),IF(R$3=12,0.1*$G174,""),IF(2026-R$4&lt;$C174,"",R$4*$G174))</f>
        <v/>
      </c>
      <c r="S174" s="19" t="str">
        <f>IF(2026-S$3&gt;IF($D174="",2026,$D174),IF(S$3=12,0.1*$G174,""),IF(2026-S$4&lt;$C174,"",S$4*$G174))</f>
        <v/>
      </c>
      <c r="T174" s="19" t="str">
        <f>IF(2026-T$3&gt;IF($D174="",2026,$D174),IF(T$3=12,0.1*$G174,""),IF(2026-T$4&lt;$C174,"",T$4*$G174))</f>
        <v/>
      </c>
    </row>
    <row r="175" spans="1:21" s="18" customFormat="1" ht="12" customHeight="1" x14ac:dyDescent="0.2">
      <c r="A175" s="17"/>
      <c r="B175" s="16" t="s">
        <v>263</v>
      </c>
      <c r="C175" s="13">
        <v>1997</v>
      </c>
      <c r="D175" s="13">
        <v>2002</v>
      </c>
      <c r="E175" s="13">
        <v>2480</v>
      </c>
      <c r="F175" s="13">
        <v>204</v>
      </c>
      <c r="G175" s="21">
        <v>37400</v>
      </c>
      <c r="H175" s="20"/>
      <c r="I175" s="19">
        <f>IF(2026-I$3&gt;IF($D175="",2026,$D175),IF(I$3=12,0.1*$G175,""),IF(2026-I$4&lt;$C175,"",I$4*$G175))</f>
        <v>3740</v>
      </c>
      <c r="J175" s="19" t="str">
        <f>IF(2026-J$3&gt;IF($D175="",2026,$D175),IF(J$3=12,0.1*$G175,""),IF(2026-J$4&lt;$C175,"",J$4*$G175))</f>
        <v/>
      </c>
      <c r="K175" s="19" t="str">
        <f>IF(2026-K$3&gt;IF($D175="",2026,$D175),IF(K$3=12,0.1*$G175,""),IF(2026-K$4&lt;$C175,"",K$4*$G175))</f>
        <v/>
      </c>
      <c r="L175" s="19" t="str">
        <f>IF(2026-L$3&gt;IF($D175="",2026,$D175),IF(L$3=12,0.1*$G175,""),IF(2026-L$4&lt;$C175,"",L$4*$G175))</f>
        <v/>
      </c>
      <c r="M175" s="19" t="str">
        <f>IF(2026-M$3&gt;IF($D175="",2026,$D175),IF(M$3=12,0.1*$G175,""),IF(2026-M$4&lt;$C175,"",M$4*$G175))</f>
        <v/>
      </c>
      <c r="N175" s="19" t="str">
        <f>IF(2026-N$3&gt;IF($D175="",2026,$D175),IF(N$3=12,0.1*$G175,""),IF(2026-N$4&lt;$C175,"",N$4*$G175))</f>
        <v/>
      </c>
      <c r="O175" s="19" t="str">
        <f>IF(2026-O$3&gt;IF($D175="",2026,$D175),IF(O$3=12,0.1*$G175,""),IF(2026-O$4&lt;$C175,"",O$4*$G175))</f>
        <v/>
      </c>
      <c r="P175" s="19" t="str">
        <f>IF(2026-P$3&gt;IF($D175="",2026,$D175),IF(P$3=12,0.1*$G175,""),IF(2026-P$4&lt;$C175,"",P$4*$G175))</f>
        <v/>
      </c>
      <c r="Q175" s="19" t="str">
        <f>IF(2026-Q$3&gt;IF($D175="",2026,$D175),IF(Q$3=12,0.1*$G175,""),IF(2026-Q$4&lt;$C175,"",Q$4*$G175))</f>
        <v/>
      </c>
      <c r="R175" s="19" t="str">
        <f>IF(2026-R$3&gt;IF($D175="",2026,$D175),IF(R$3=12,0.1*$G175,""),IF(2026-R$4&lt;$C175,"",R$4*$G175))</f>
        <v/>
      </c>
      <c r="S175" s="19" t="str">
        <f>IF(2026-S$3&gt;IF($D175="",2026,$D175),IF(S$3=12,0.1*$G175,""),IF(2026-S$4&lt;$C175,"",S$4*$G175))</f>
        <v/>
      </c>
      <c r="T175" s="19" t="str">
        <f>IF(2026-T$3&gt;IF($D175="",2026,$D175),IF(T$3=12,0.1*$G175,""),IF(2026-T$4&lt;$C175,"",T$4*$G175))</f>
        <v/>
      </c>
      <c r="U175" s="12"/>
    </row>
    <row r="176" spans="1:21" s="18" customFormat="1" ht="12" customHeight="1" x14ac:dyDescent="0.2">
      <c r="A176" s="17"/>
      <c r="B176" s="16" t="s">
        <v>262</v>
      </c>
      <c r="C176" s="13">
        <v>1997</v>
      </c>
      <c r="D176" s="13">
        <v>2002</v>
      </c>
      <c r="E176" s="13">
        <v>2480</v>
      </c>
      <c r="F176" s="13">
        <v>204</v>
      </c>
      <c r="G176" s="21">
        <v>35700</v>
      </c>
      <c r="H176" s="20"/>
      <c r="I176" s="19">
        <f>IF(2026-I$3&gt;IF($D176="",2026,$D176),IF(I$3=12,0.1*$G176,""),IF(2026-I$4&lt;$C176,"",I$4*$G176))</f>
        <v>3570</v>
      </c>
      <c r="J176" s="19" t="str">
        <f>IF(2026-J$3&gt;IF($D176="",2026,$D176),IF(J$3=12,0.1*$G176,""),IF(2026-J$4&lt;$C176,"",J$4*$G176))</f>
        <v/>
      </c>
      <c r="K176" s="19" t="str">
        <f>IF(2026-K$3&gt;IF($D176="",2026,$D176),IF(K$3=12,0.1*$G176,""),IF(2026-K$4&lt;$C176,"",K$4*$G176))</f>
        <v/>
      </c>
      <c r="L176" s="19" t="str">
        <f>IF(2026-L$3&gt;IF($D176="",2026,$D176),IF(L$3=12,0.1*$G176,""),IF(2026-L$4&lt;$C176,"",L$4*$G176))</f>
        <v/>
      </c>
      <c r="M176" s="19" t="str">
        <f>IF(2026-M$3&gt;IF($D176="",2026,$D176),IF(M$3=12,0.1*$G176,""),IF(2026-M$4&lt;$C176,"",M$4*$G176))</f>
        <v/>
      </c>
      <c r="N176" s="19" t="str">
        <f>IF(2026-N$3&gt;IF($D176="",2026,$D176),IF(N$3=12,0.1*$G176,""),IF(2026-N$4&lt;$C176,"",N$4*$G176))</f>
        <v/>
      </c>
      <c r="O176" s="19" t="str">
        <f>IF(2026-O$3&gt;IF($D176="",2026,$D176),IF(O$3=12,0.1*$G176,""),IF(2026-O$4&lt;$C176,"",O$4*$G176))</f>
        <v/>
      </c>
      <c r="P176" s="19" t="str">
        <f>IF(2026-P$3&gt;IF($D176="",2026,$D176),IF(P$3=12,0.1*$G176,""),IF(2026-P$4&lt;$C176,"",P$4*$G176))</f>
        <v/>
      </c>
      <c r="Q176" s="19" t="str">
        <f>IF(2026-Q$3&gt;IF($D176="",2026,$D176),IF(Q$3=12,0.1*$G176,""),IF(2026-Q$4&lt;$C176,"",Q$4*$G176))</f>
        <v/>
      </c>
      <c r="R176" s="19" t="str">
        <f>IF(2026-R$3&gt;IF($D176="",2026,$D176),IF(R$3=12,0.1*$G176,""),IF(2026-R$4&lt;$C176,"",R$4*$G176))</f>
        <v/>
      </c>
      <c r="S176" s="19" t="str">
        <f>IF(2026-S$3&gt;IF($D176="",2026,$D176),IF(S$3=12,0.1*$G176,""),IF(2026-S$4&lt;$C176,"",S$4*$G176))</f>
        <v/>
      </c>
      <c r="T176" s="19" t="str">
        <f>IF(2026-T$3&gt;IF($D176="",2026,$D176),IF(T$3=12,0.1*$G176,""),IF(2026-T$4&lt;$C176,"",T$4*$G176))</f>
        <v/>
      </c>
    </row>
    <row r="177" spans="1:20" s="18" customFormat="1" ht="12" customHeight="1" x14ac:dyDescent="0.2">
      <c r="A177" s="17"/>
      <c r="B177" s="16" t="s">
        <v>252</v>
      </c>
      <c r="C177" s="13">
        <v>1997</v>
      </c>
      <c r="D177" s="13">
        <v>2002</v>
      </c>
      <c r="E177" s="13">
        <v>2700</v>
      </c>
      <c r="F177" s="13">
        <v>220</v>
      </c>
      <c r="G177" s="21">
        <v>35700</v>
      </c>
      <c r="H177" s="20"/>
      <c r="I177" s="19">
        <f>IF(2026-I$3&gt;IF($D177="",2026,$D177),IF(I$3=12,0.1*$G177,""),IF(2026-I$4&lt;$C177,"",I$4*$G177))</f>
        <v>3570</v>
      </c>
      <c r="J177" s="19" t="str">
        <f>IF(2026-J$3&gt;IF($D177="",2026,$D177),IF(J$3=12,0.1*$G177,""),IF(2026-J$4&lt;$C177,"",J$4*$G177))</f>
        <v/>
      </c>
      <c r="K177" s="19" t="str">
        <f>IF(2026-K$3&gt;IF($D177="",2026,$D177),IF(K$3=12,0.1*$G177,""),IF(2026-K$4&lt;$C177,"",K$4*$G177))</f>
        <v/>
      </c>
      <c r="L177" s="19" t="str">
        <f>IF(2026-L$3&gt;IF($D177="",2026,$D177),IF(L$3=12,0.1*$G177,""),IF(2026-L$4&lt;$C177,"",L$4*$G177))</f>
        <v/>
      </c>
      <c r="M177" s="19" t="str">
        <f>IF(2026-M$3&gt;IF($D177="",2026,$D177),IF(M$3=12,0.1*$G177,""),IF(2026-M$4&lt;$C177,"",M$4*$G177))</f>
        <v/>
      </c>
      <c r="N177" s="19" t="str">
        <f>IF(2026-N$3&gt;IF($D177="",2026,$D177),IF(N$3=12,0.1*$G177,""),IF(2026-N$4&lt;$C177,"",N$4*$G177))</f>
        <v/>
      </c>
      <c r="O177" s="19" t="str">
        <f>IF(2026-O$3&gt;IF($D177="",2026,$D177),IF(O$3=12,0.1*$G177,""),IF(2026-O$4&lt;$C177,"",O$4*$G177))</f>
        <v/>
      </c>
      <c r="P177" s="19" t="str">
        <f>IF(2026-P$3&gt;IF($D177="",2026,$D177),IF(P$3=12,0.1*$G177,""),IF(2026-P$4&lt;$C177,"",P$4*$G177))</f>
        <v/>
      </c>
      <c r="Q177" s="19" t="str">
        <f>IF(2026-Q$3&gt;IF($D177="",2026,$D177),IF(Q$3=12,0.1*$G177,""),IF(2026-Q$4&lt;$C177,"",Q$4*$G177))</f>
        <v/>
      </c>
      <c r="R177" s="19" t="str">
        <f>IF(2026-R$3&gt;IF($D177="",2026,$D177),IF(R$3=12,0.1*$G177,""),IF(2026-R$4&lt;$C177,"",R$4*$G177))</f>
        <v/>
      </c>
      <c r="S177" s="19" t="str">
        <f>IF(2026-S$3&gt;IF($D177="",2026,$D177),IF(S$3=12,0.1*$G177,""),IF(2026-S$4&lt;$C177,"",S$4*$G177))</f>
        <v/>
      </c>
      <c r="T177" s="19" t="str">
        <f>IF(2026-T$3&gt;IF($D177="",2026,$D177),IF(T$3=12,0.1*$G177,""),IF(2026-T$4&lt;$C177,"",T$4*$G177))</f>
        <v/>
      </c>
    </row>
    <row r="178" spans="1:20" s="18" customFormat="1" ht="12" customHeight="1" x14ac:dyDescent="0.2">
      <c r="A178" s="17"/>
      <c r="B178" s="16" t="s">
        <v>248</v>
      </c>
      <c r="C178" s="13">
        <v>1997</v>
      </c>
      <c r="D178" s="13">
        <v>2002</v>
      </c>
      <c r="E178" s="13">
        <v>3179</v>
      </c>
      <c r="F178" s="13">
        <v>252</v>
      </c>
      <c r="G178" s="21">
        <v>42100</v>
      </c>
      <c r="H178" s="20"/>
      <c r="I178" s="19">
        <f>IF(2026-I$3&gt;IF($D178="",2026,$D178),IF(I$3=12,0.1*$G178,""),IF(2026-I$4&lt;$C178,"",I$4*$G178))</f>
        <v>4210</v>
      </c>
      <c r="J178" s="19" t="str">
        <f>IF(2026-J$3&gt;IF($D178="",2026,$D178),IF(J$3=12,0.1*$G178,""),IF(2026-J$4&lt;$C178,"",J$4*$G178))</f>
        <v/>
      </c>
      <c r="K178" s="19" t="str">
        <f>IF(2026-K$3&gt;IF($D178="",2026,$D178),IF(K$3=12,0.1*$G178,""),IF(2026-K$4&lt;$C178,"",K$4*$G178))</f>
        <v/>
      </c>
      <c r="L178" s="19" t="str">
        <f>IF(2026-L$3&gt;IF($D178="",2026,$D178),IF(L$3=12,0.1*$G178,""),IF(2026-L$4&lt;$C178,"",L$4*$G178))</f>
        <v/>
      </c>
      <c r="M178" s="19" t="str">
        <f>IF(2026-M$3&gt;IF($D178="",2026,$D178),IF(M$3=12,0.1*$G178,""),IF(2026-M$4&lt;$C178,"",M$4*$G178))</f>
        <v/>
      </c>
      <c r="N178" s="19" t="str">
        <f>IF(2026-N$3&gt;IF($D178="",2026,$D178),IF(N$3=12,0.1*$G178,""),IF(2026-N$4&lt;$C178,"",N$4*$G178))</f>
        <v/>
      </c>
      <c r="O178" s="19" t="str">
        <f>IF(2026-O$3&gt;IF($D178="",2026,$D178),IF(O$3=12,0.1*$G178,""),IF(2026-O$4&lt;$C178,"",O$4*$G178))</f>
        <v/>
      </c>
      <c r="P178" s="19" t="str">
        <f>IF(2026-P$3&gt;IF($D178="",2026,$D178),IF(P$3=12,0.1*$G178,""),IF(2026-P$4&lt;$C178,"",P$4*$G178))</f>
        <v/>
      </c>
      <c r="Q178" s="19" t="str">
        <f>IF(2026-Q$3&gt;IF($D178="",2026,$D178),IF(Q$3=12,0.1*$G178,""),IF(2026-Q$4&lt;$C178,"",Q$4*$G178))</f>
        <v/>
      </c>
      <c r="R178" s="19" t="str">
        <f>IF(2026-R$3&gt;IF($D178="",2026,$D178),IF(R$3=12,0.1*$G178,""),IF(2026-R$4&lt;$C178,"",R$4*$G178))</f>
        <v/>
      </c>
      <c r="S178" s="19" t="str">
        <f>IF(2026-S$3&gt;IF($D178="",2026,$D178),IF(S$3=12,0.1*$G178,""),IF(2026-S$4&lt;$C178,"",S$4*$G178))</f>
        <v/>
      </c>
      <c r="T178" s="19" t="str">
        <f>IF(2026-T$3&gt;IF($D178="",2026,$D178),IF(T$3=12,0.1*$G178,""),IF(2026-T$4&lt;$C178,"",T$4*$G178))</f>
        <v/>
      </c>
    </row>
    <row r="179" spans="1:20" s="18" customFormat="1" ht="12" customHeight="1" x14ac:dyDescent="0.2">
      <c r="A179" s="17"/>
      <c r="B179" s="16" t="s">
        <v>261</v>
      </c>
      <c r="C179" s="13">
        <v>2002</v>
      </c>
      <c r="D179" s="13">
        <v>2004</v>
      </c>
      <c r="E179" s="13">
        <v>2687</v>
      </c>
      <c r="F179" s="13">
        <v>228</v>
      </c>
      <c r="G179" s="21">
        <v>37800</v>
      </c>
      <c r="H179" s="20"/>
      <c r="I179" s="19">
        <f>IF(2026-I$3&gt;IF($D179="",2026,$D179),IF(I$3=12,0.1*$G179,""),IF(2026-I$4&lt;$C179,"",I$4*$G179))</f>
        <v>3780</v>
      </c>
      <c r="J179" s="19" t="str">
        <f>IF(2026-J$3&gt;IF($D179="",2026,$D179),IF(J$3=12,0.1*$G179,""),IF(2026-J$4&lt;$C179,"",J$4*$G179))</f>
        <v/>
      </c>
      <c r="K179" s="19" t="str">
        <f>IF(2026-K$3&gt;IF($D179="",2026,$D179),IF(K$3=12,0.1*$G179,""),IF(2026-K$4&lt;$C179,"",K$4*$G179))</f>
        <v/>
      </c>
      <c r="L179" s="19" t="str">
        <f>IF(2026-L$3&gt;IF($D179="",2026,$D179),IF(L$3=12,0.1*$G179,""),IF(2026-L$4&lt;$C179,"",L$4*$G179))</f>
        <v/>
      </c>
      <c r="M179" s="19" t="str">
        <f>IF(2026-M$3&gt;IF($D179="",2026,$D179),IF(M$3=12,0.1*$G179,""),IF(2026-M$4&lt;$C179,"",M$4*$G179))</f>
        <v/>
      </c>
      <c r="N179" s="19" t="str">
        <f>IF(2026-N$3&gt;IF($D179="",2026,$D179),IF(N$3=12,0.1*$G179,""),IF(2026-N$4&lt;$C179,"",N$4*$G179))</f>
        <v/>
      </c>
      <c r="O179" s="19" t="str">
        <f>IF(2026-O$3&gt;IF($D179="",2026,$D179),IF(O$3=12,0.1*$G179,""),IF(2026-O$4&lt;$C179,"",O$4*$G179))</f>
        <v/>
      </c>
      <c r="P179" s="19" t="str">
        <f>IF(2026-P$3&gt;IF($D179="",2026,$D179),IF(P$3=12,0.1*$G179,""),IF(2026-P$4&lt;$C179,"",P$4*$G179))</f>
        <v/>
      </c>
      <c r="Q179" s="19" t="str">
        <f>IF(2026-Q$3&gt;IF($D179="",2026,$D179),IF(Q$3=12,0.1*$G179,""),IF(2026-Q$4&lt;$C179,"",Q$4*$G179))</f>
        <v/>
      </c>
      <c r="R179" s="19" t="str">
        <f>IF(2026-R$3&gt;IF($D179="",2026,$D179),IF(R$3=12,0.1*$G179,""),IF(2026-R$4&lt;$C179,"",R$4*$G179))</f>
        <v/>
      </c>
      <c r="S179" s="19" t="str">
        <f>IF(2026-S$3&gt;IF($D179="",2026,$D179),IF(S$3=12,0.1*$G179,""),IF(2026-S$4&lt;$C179,"",S$4*$G179))</f>
        <v/>
      </c>
      <c r="T179" s="19" t="str">
        <f>IF(2026-T$3&gt;IF($D179="",2026,$D179),IF(T$3=12,0.1*$G179,""),IF(2026-T$4&lt;$C179,"",T$4*$G179))</f>
        <v/>
      </c>
    </row>
    <row r="180" spans="1:20" s="18" customFormat="1" ht="12" customHeight="1" x14ac:dyDescent="0.2">
      <c r="A180" s="17"/>
      <c r="B180" s="16" t="s">
        <v>260</v>
      </c>
      <c r="C180" s="13">
        <v>2002</v>
      </c>
      <c r="D180" s="13">
        <v>2004</v>
      </c>
      <c r="E180" s="13">
        <v>3179</v>
      </c>
      <c r="F180" s="13">
        <v>260</v>
      </c>
      <c r="G180" s="21">
        <v>44400</v>
      </c>
      <c r="H180" s="20"/>
      <c r="I180" s="19">
        <f>IF(2026-I$3&gt;IF($D180="",2026,$D180),IF(I$3=12,0.1*$G180,""),IF(2026-I$4&lt;$C180,"",I$4*$G180))</f>
        <v>4440</v>
      </c>
      <c r="J180" s="19" t="str">
        <f>IF(2026-J$3&gt;IF($D180="",2026,$D180),IF(J$3=12,0.1*$G180,""),IF(2026-J$4&lt;$C180,"",J$4*$G180))</f>
        <v/>
      </c>
      <c r="K180" s="19" t="str">
        <f>IF(2026-K$3&gt;IF($D180="",2026,$D180),IF(K$3=12,0.1*$G180,""),IF(2026-K$4&lt;$C180,"",K$4*$G180))</f>
        <v/>
      </c>
      <c r="L180" s="19" t="str">
        <f>IF(2026-L$3&gt;IF($D180="",2026,$D180),IF(L$3=12,0.1*$G180,""),IF(2026-L$4&lt;$C180,"",L$4*$G180))</f>
        <v/>
      </c>
      <c r="M180" s="19" t="str">
        <f>IF(2026-M$3&gt;IF($D180="",2026,$D180),IF(M$3=12,0.1*$G180,""),IF(2026-M$4&lt;$C180,"",M$4*$G180))</f>
        <v/>
      </c>
      <c r="N180" s="19" t="str">
        <f>IF(2026-N$3&gt;IF($D180="",2026,$D180),IF(N$3=12,0.1*$G180,""),IF(2026-N$4&lt;$C180,"",N$4*$G180))</f>
        <v/>
      </c>
      <c r="O180" s="19" t="str">
        <f>IF(2026-O$3&gt;IF($D180="",2026,$D180),IF(O$3=12,0.1*$G180,""),IF(2026-O$4&lt;$C180,"",O$4*$G180))</f>
        <v/>
      </c>
      <c r="P180" s="19" t="str">
        <f>IF(2026-P$3&gt;IF($D180="",2026,$D180),IF(P$3=12,0.1*$G180,""),IF(2026-P$4&lt;$C180,"",P$4*$G180))</f>
        <v/>
      </c>
      <c r="Q180" s="19" t="str">
        <f>IF(2026-Q$3&gt;IF($D180="",2026,$D180),IF(Q$3=12,0.1*$G180,""),IF(2026-Q$4&lt;$C180,"",Q$4*$G180))</f>
        <v/>
      </c>
      <c r="R180" s="19" t="str">
        <f>IF(2026-R$3&gt;IF($D180="",2026,$D180),IF(R$3=12,0.1*$G180,""),IF(2026-R$4&lt;$C180,"",R$4*$G180))</f>
        <v/>
      </c>
      <c r="S180" s="19" t="str">
        <f>IF(2026-S$3&gt;IF($D180="",2026,$D180),IF(S$3=12,0.1*$G180,""),IF(2026-S$4&lt;$C180,"",S$4*$G180))</f>
        <v/>
      </c>
      <c r="T180" s="19" t="str">
        <f>IF(2026-T$3&gt;IF($D180="",2026,$D180),IF(T$3=12,0.1*$G180,""),IF(2026-T$4&lt;$C180,"",T$4*$G180))</f>
        <v/>
      </c>
    </row>
    <row r="181" spans="1:20" s="18" customFormat="1" ht="12" customHeight="1" x14ac:dyDescent="0.2">
      <c r="A181" s="17"/>
      <c r="B181" s="16" t="s">
        <v>259</v>
      </c>
      <c r="C181" s="13">
        <v>2004</v>
      </c>
      <c r="D181" s="13">
        <v>2008</v>
      </c>
      <c r="E181" s="13">
        <v>2687</v>
      </c>
      <c r="F181" s="13">
        <v>229</v>
      </c>
      <c r="G181" s="21">
        <v>39100</v>
      </c>
      <c r="H181" s="20"/>
      <c r="I181" s="19">
        <f>IF(2026-I$3&gt;IF($D181="",2026,$D181),IF(I$3=12,0.1*$G181,""),IF(2026-I$4&lt;$C181,"",I$4*$G181))</f>
        <v>3910</v>
      </c>
      <c r="J181" s="19" t="str">
        <f>IF(2026-J$3&gt;IF($D181="",2026,$D181),IF(J$3=12,0.1*$G181,""),IF(2026-J$4&lt;$C181,"",J$4*$G181))</f>
        <v/>
      </c>
      <c r="K181" s="19" t="str">
        <f>IF(2026-K$3&gt;IF($D181="",2026,$D181),IF(K$3=12,0.1*$G181,""),IF(2026-K$4&lt;$C181,"",K$4*$G181))</f>
        <v/>
      </c>
      <c r="L181" s="19" t="str">
        <f>IF(2026-L$3&gt;IF($D181="",2026,$D181),IF(L$3=12,0.1*$G181,""),IF(2026-L$4&lt;$C181,"",L$4*$G181))</f>
        <v/>
      </c>
      <c r="M181" s="19" t="str">
        <f>IF(2026-M$3&gt;IF($D181="",2026,$D181),IF(M$3=12,0.1*$G181,""),IF(2026-M$4&lt;$C181,"",M$4*$G181))</f>
        <v/>
      </c>
      <c r="N181" s="19" t="str">
        <f>IF(2026-N$3&gt;IF($D181="",2026,$D181),IF(N$3=12,0.1*$G181,""),IF(2026-N$4&lt;$C181,"",N$4*$G181))</f>
        <v/>
      </c>
      <c r="O181" s="19" t="str">
        <f>IF(2026-O$3&gt;IF($D181="",2026,$D181),IF(O$3=12,0.1*$G181,""),IF(2026-O$4&lt;$C181,"",O$4*$G181))</f>
        <v/>
      </c>
      <c r="P181" s="19" t="str">
        <f>IF(2026-P$3&gt;IF($D181="",2026,$D181),IF(P$3=12,0.1*$G181,""),IF(2026-P$4&lt;$C181,"",P$4*$G181))</f>
        <v/>
      </c>
      <c r="Q181" s="19" t="str">
        <f>IF(2026-Q$3&gt;IF($D181="",2026,$D181),IF(Q$3=12,0.1*$G181,""),IF(2026-Q$4&lt;$C181,"",Q$4*$G181))</f>
        <v/>
      </c>
      <c r="R181" s="19" t="str">
        <f>IF(2026-R$3&gt;IF($D181="",2026,$D181),IF(R$3=12,0.1*$G181,""),IF(2026-R$4&lt;$C181,"",R$4*$G181))</f>
        <v/>
      </c>
      <c r="S181" s="19" t="str">
        <f>IF(2026-S$3&gt;IF($D181="",2026,$D181),IF(S$3=12,0.1*$G181,""),IF(2026-S$4&lt;$C181,"",S$4*$G181))</f>
        <v/>
      </c>
      <c r="T181" s="19" t="str">
        <f>IF(2026-T$3&gt;IF($D181="",2026,$D181),IF(T$3=12,0.1*$G181,""),IF(2026-T$4&lt;$C181,"",T$4*$G181))</f>
        <v/>
      </c>
    </row>
    <row r="182" spans="1:20" s="18" customFormat="1" ht="12" customHeight="1" x14ac:dyDescent="0.2">
      <c r="A182" s="17"/>
      <c r="B182" s="16" t="s">
        <v>259</v>
      </c>
      <c r="C182" s="13">
        <v>2004</v>
      </c>
      <c r="D182" s="13">
        <v>2008</v>
      </c>
      <c r="E182" s="13">
        <v>2687</v>
      </c>
      <c r="F182" s="13">
        <v>245</v>
      </c>
      <c r="G182" s="21">
        <v>40800</v>
      </c>
      <c r="H182" s="20"/>
      <c r="I182" s="19">
        <f>IF(2026-I$3&gt;IF($D182="",2026,$D182),IF(I$3=12,0.1*$G182,""),IF(2026-I$4&lt;$C182,"",I$4*$G182))</f>
        <v>4080</v>
      </c>
      <c r="J182" s="19" t="str">
        <f>IF(2026-J$3&gt;IF($D182="",2026,$D182),IF(J$3=12,0.1*$G182,""),IF(2026-J$4&lt;$C182,"",J$4*$G182))</f>
        <v/>
      </c>
      <c r="K182" s="19" t="str">
        <f>IF(2026-K$3&gt;IF($D182="",2026,$D182),IF(K$3=12,0.1*$G182,""),IF(2026-K$4&lt;$C182,"",K$4*$G182))</f>
        <v/>
      </c>
      <c r="L182" s="19" t="str">
        <f>IF(2026-L$3&gt;IF($D182="",2026,$D182),IF(L$3=12,0.1*$G182,""),IF(2026-L$4&lt;$C182,"",L$4*$G182))</f>
        <v/>
      </c>
      <c r="M182" s="19" t="str">
        <f>IF(2026-M$3&gt;IF($D182="",2026,$D182),IF(M$3=12,0.1*$G182,""),IF(2026-M$4&lt;$C182,"",M$4*$G182))</f>
        <v/>
      </c>
      <c r="N182" s="19" t="str">
        <f>IF(2026-N$3&gt;IF($D182="",2026,$D182),IF(N$3=12,0.1*$G182,""),IF(2026-N$4&lt;$C182,"",N$4*$G182))</f>
        <v/>
      </c>
      <c r="O182" s="19" t="str">
        <f>IF(2026-O$3&gt;IF($D182="",2026,$D182),IF(O$3=12,0.1*$G182,""),IF(2026-O$4&lt;$C182,"",O$4*$G182))</f>
        <v/>
      </c>
      <c r="P182" s="19" t="str">
        <f>IF(2026-P$3&gt;IF($D182="",2026,$D182),IF(P$3=12,0.1*$G182,""),IF(2026-P$4&lt;$C182,"",P$4*$G182))</f>
        <v/>
      </c>
      <c r="Q182" s="19" t="str">
        <f>IF(2026-Q$3&gt;IF($D182="",2026,$D182),IF(Q$3=12,0.1*$G182,""),IF(2026-Q$4&lt;$C182,"",Q$4*$G182))</f>
        <v/>
      </c>
      <c r="R182" s="19" t="str">
        <f>IF(2026-R$3&gt;IF($D182="",2026,$D182),IF(R$3=12,0.1*$G182,""),IF(2026-R$4&lt;$C182,"",R$4*$G182))</f>
        <v/>
      </c>
      <c r="S182" s="19" t="str">
        <f>IF(2026-S$3&gt;IF($D182="",2026,$D182),IF(S$3=12,0.1*$G182,""),IF(2026-S$4&lt;$C182,"",S$4*$G182))</f>
        <v/>
      </c>
      <c r="T182" s="19" t="str">
        <f>IF(2026-T$3&gt;IF($D182="",2026,$D182),IF(T$3=12,0.1*$G182,""),IF(2026-T$4&lt;$C182,"",T$4*$G182))</f>
        <v/>
      </c>
    </row>
    <row r="183" spans="1:20" s="18" customFormat="1" ht="12" customHeight="1" x14ac:dyDescent="0.2">
      <c r="A183" s="17"/>
      <c r="B183" s="16" t="s">
        <v>258</v>
      </c>
      <c r="C183" s="13">
        <v>2004</v>
      </c>
      <c r="D183" s="13">
        <v>2008</v>
      </c>
      <c r="E183" s="13">
        <v>3179</v>
      </c>
      <c r="F183" s="13">
        <v>260</v>
      </c>
      <c r="G183" s="21">
        <v>46500</v>
      </c>
      <c r="H183" s="20"/>
      <c r="I183" s="19">
        <f>IF(2026-I$3&gt;IF($D183="",2026,$D183),IF(I$3=12,0.1*$G183,""),IF(2026-I$4&lt;$C183,"",I$4*$G183))</f>
        <v>4650</v>
      </c>
      <c r="J183" s="19" t="str">
        <f>IF(2026-J$3&gt;IF($D183="",2026,$D183),IF(J$3=12,0.1*$G183,""),IF(2026-J$4&lt;$C183,"",J$4*$G183))</f>
        <v/>
      </c>
      <c r="K183" s="19" t="str">
        <f>IF(2026-K$3&gt;IF($D183="",2026,$D183),IF(K$3=12,0.1*$G183,""),IF(2026-K$4&lt;$C183,"",K$4*$G183))</f>
        <v/>
      </c>
      <c r="L183" s="19" t="str">
        <f>IF(2026-L$3&gt;IF($D183="",2026,$D183),IF(L$3=12,0.1*$G183,""),IF(2026-L$4&lt;$C183,"",L$4*$G183))</f>
        <v/>
      </c>
      <c r="M183" s="19" t="str">
        <f>IF(2026-M$3&gt;IF($D183="",2026,$D183),IF(M$3=12,0.1*$G183,""),IF(2026-M$4&lt;$C183,"",M$4*$G183))</f>
        <v/>
      </c>
      <c r="N183" s="19" t="str">
        <f>IF(2026-N$3&gt;IF($D183="",2026,$D183),IF(N$3=12,0.1*$G183,""),IF(2026-N$4&lt;$C183,"",N$4*$G183))</f>
        <v/>
      </c>
      <c r="O183" s="19" t="str">
        <f>IF(2026-O$3&gt;IF($D183="",2026,$D183),IF(O$3=12,0.1*$G183,""),IF(2026-O$4&lt;$C183,"",O$4*$G183))</f>
        <v/>
      </c>
      <c r="P183" s="19" t="str">
        <f>IF(2026-P$3&gt;IF($D183="",2026,$D183),IF(P$3=12,0.1*$G183,""),IF(2026-P$4&lt;$C183,"",P$4*$G183))</f>
        <v/>
      </c>
      <c r="Q183" s="19" t="str">
        <f>IF(2026-Q$3&gt;IF($D183="",2026,$D183),IF(Q$3=12,0.1*$G183,""),IF(2026-Q$4&lt;$C183,"",Q$4*$G183))</f>
        <v/>
      </c>
      <c r="R183" s="19" t="str">
        <f>IF(2026-R$3&gt;IF($D183="",2026,$D183),IF(R$3=12,0.1*$G183,""),IF(2026-R$4&lt;$C183,"",R$4*$G183))</f>
        <v/>
      </c>
      <c r="S183" s="19" t="str">
        <f>IF(2026-S$3&gt;IF($D183="",2026,$D183),IF(S$3=12,0.1*$G183,""),IF(2026-S$4&lt;$C183,"",S$4*$G183))</f>
        <v/>
      </c>
      <c r="T183" s="19" t="str">
        <f>IF(2026-T$3&gt;IF($D183="",2026,$D183),IF(T$3=12,0.1*$G183,""),IF(2026-T$4&lt;$C183,"",T$4*$G183))</f>
        <v/>
      </c>
    </row>
    <row r="184" spans="1:20" s="18" customFormat="1" ht="12" customHeight="1" x14ac:dyDescent="0.2">
      <c r="A184" s="17"/>
      <c r="B184" s="16" t="s">
        <v>248</v>
      </c>
      <c r="C184" s="13">
        <v>2004</v>
      </c>
      <c r="D184" s="13">
        <v>2008</v>
      </c>
      <c r="E184" s="13">
        <v>3387</v>
      </c>
      <c r="F184" s="13">
        <v>295</v>
      </c>
      <c r="G184" s="21">
        <v>47800</v>
      </c>
      <c r="H184" s="20"/>
      <c r="I184" s="19">
        <f>IF(2026-I$3&gt;IF($D184="",2026,$D184),IF(I$3=12,0.1*$G184,""),IF(2026-I$4&lt;$C184,"",I$4*$G184))</f>
        <v>4780</v>
      </c>
      <c r="J184" s="19" t="str">
        <f>IF(2026-J$3&gt;IF($D184="",2026,$D184),IF(J$3=12,0.1*$G184,""),IF(2026-J$4&lt;$C184,"",J$4*$G184))</f>
        <v/>
      </c>
      <c r="K184" s="19" t="str">
        <f>IF(2026-K$3&gt;IF($D184="",2026,$D184),IF(K$3=12,0.1*$G184,""),IF(2026-K$4&lt;$C184,"",K$4*$G184))</f>
        <v/>
      </c>
      <c r="L184" s="19" t="str">
        <f>IF(2026-L$3&gt;IF($D184="",2026,$D184),IF(L$3=12,0.1*$G184,""),IF(2026-L$4&lt;$C184,"",L$4*$G184))</f>
        <v/>
      </c>
      <c r="M184" s="19" t="str">
        <f>IF(2026-M$3&gt;IF($D184="",2026,$D184),IF(M$3=12,0.1*$G184,""),IF(2026-M$4&lt;$C184,"",M$4*$G184))</f>
        <v/>
      </c>
      <c r="N184" s="19" t="str">
        <f>IF(2026-N$3&gt;IF($D184="",2026,$D184),IF(N$3=12,0.1*$G184,""),IF(2026-N$4&lt;$C184,"",N$4*$G184))</f>
        <v/>
      </c>
      <c r="O184" s="19" t="str">
        <f>IF(2026-O$3&gt;IF($D184="",2026,$D184),IF(O$3=12,0.1*$G184,""),IF(2026-O$4&lt;$C184,"",O$4*$G184))</f>
        <v/>
      </c>
      <c r="P184" s="19" t="str">
        <f>IF(2026-P$3&gt;IF($D184="",2026,$D184),IF(P$3=12,0.1*$G184,""),IF(2026-P$4&lt;$C184,"",P$4*$G184))</f>
        <v/>
      </c>
      <c r="Q184" s="19" t="str">
        <f>IF(2026-Q$3&gt;IF($D184="",2026,$D184),IF(Q$3=12,0.1*$G184,""),IF(2026-Q$4&lt;$C184,"",Q$4*$G184))</f>
        <v/>
      </c>
      <c r="R184" s="19" t="str">
        <f>IF(2026-R$3&gt;IF($D184="",2026,$D184),IF(R$3=12,0.1*$G184,""),IF(2026-R$4&lt;$C184,"",R$4*$G184))</f>
        <v/>
      </c>
      <c r="S184" s="19" t="str">
        <f>IF(2026-S$3&gt;IF($D184="",2026,$D184),IF(S$3=12,0.1*$G184,""),IF(2026-S$4&lt;$C184,"",S$4*$G184))</f>
        <v/>
      </c>
      <c r="T184" s="19" t="str">
        <f>IF(2026-T$3&gt;IF($D184="",2026,$D184),IF(T$3=12,0.1*$G184,""),IF(2026-T$4&lt;$C184,"",T$4*$G184))</f>
        <v/>
      </c>
    </row>
    <row r="185" spans="1:20" s="18" customFormat="1" ht="12" customHeight="1" x14ac:dyDescent="0.2">
      <c r="A185" s="17"/>
      <c r="B185" s="16" t="s">
        <v>257</v>
      </c>
      <c r="C185" s="13">
        <v>2004</v>
      </c>
      <c r="D185" s="13">
        <v>2008</v>
      </c>
      <c r="E185" s="13">
        <v>3387</v>
      </c>
      <c r="F185" s="13">
        <v>303</v>
      </c>
      <c r="G185" s="21">
        <v>57000</v>
      </c>
      <c r="H185" s="20"/>
      <c r="I185" s="19">
        <f>IF(2026-I$3&gt;IF($D185="",2026,$D185),IF(I$3=12,0.1*$G185,""),IF(2026-I$4&lt;$C185,"",I$4*$G185))</f>
        <v>5700</v>
      </c>
      <c r="J185" s="19" t="str">
        <f>IF(2026-J$3&gt;IF($D185="",2026,$D185),IF(J$3=12,0.1*$G185,""),IF(2026-J$4&lt;$C185,"",J$4*$G185))</f>
        <v/>
      </c>
      <c r="K185" s="19" t="str">
        <f>IF(2026-K$3&gt;IF($D185="",2026,$D185),IF(K$3=12,0.1*$G185,""),IF(2026-K$4&lt;$C185,"",K$4*$G185))</f>
        <v/>
      </c>
      <c r="L185" s="19" t="str">
        <f>IF(2026-L$3&gt;IF($D185="",2026,$D185),IF(L$3=12,0.1*$G185,""),IF(2026-L$4&lt;$C185,"",L$4*$G185))</f>
        <v/>
      </c>
      <c r="M185" s="19" t="str">
        <f>IF(2026-M$3&gt;IF($D185="",2026,$D185),IF(M$3=12,0.1*$G185,""),IF(2026-M$4&lt;$C185,"",M$4*$G185))</f>
        <v/>
      </c>
      <c r="N185" s="19" t="str">
        <f>IF(2026-N$3&gt;IF($D185="",2026,$D185),IF(N$3=12,0.1*$G185,""),IF(2026-N$4&lt;$C185,"",N$4*$G185))</f>
        <v/>
      </c>
      <c r="O185" s="19" t="str">
        <f>IF(2026-O$3&gt;IF($D185="",2026,$D185),IF(O$3=12,0.1*$G185,""),IF(2026-O$4&lt;$C185,"",O$4*$G185))</f>
        <v/>
      </c>
      <c r="P185" s="19" t="str">
        <f>IF(2026-P$3&gt;IF($D185="",2026,$D185),IF(P$3=12,0.1*$G185,""),IF(2026-P$4&lt;$C185,"",P$4*$G185))</f>
        <v/>
      </c>
      <c r="Q185" s="19" t="str">
        <f>IF(2026-Q$3&gt;IF($D185="",2026,$D185),IF(Q$3=12,0.1*$G185,""),IF(2026-Q$4&lt;$C185,"",Q$4*$G185))</f>
        <v/>
      </c>
      <c r="R185" s="19" t="str">
        <f>IF(2026-R$3&gt;IF($D185="",2026,$D185),IF(R$3=12,0.1*$G185,""),IF(2026-R$4&lt;$C185,"",R$4*$G185))</f>
        <v/>
      </c>
      <c r="S185" s="19" t="str">
        <f>IF(2026-S$3&gt;IF($D185="",2026,$D185),IF(S$3=12,0.1*$G185,""),IF(2026-S$4&lt;$C185,"",S$4*$G185))</f>
        <v/>
      </c>
      <c r="T185" s="19" t="str">
        <f>IF(2026-T$3&gt;IF($D185="",2026,$D185),IF(T$3=12,0.1*$G185,""),IF(2026-T$4&lt;$C185,"",T$4*$G185))</f>
        <v/>
      </c>
    </row>
    <row r="186" spans="1:20" s="18" customFormat="1" ht="12" customHeight="1" x14ac:dyDescent="0.2">
      <c r="A186" s="17"/>
      <c r="B186" s="16" t="s">
        <v>256</v>
      </c>
      <c r="C186" s="13">
        <v>2004</v>
      </c>
      <c r="D186" s="13">
        <v>2008</v>
      </c>
      <c r="E186" s="13">
        <v>3387</v>
      </c>
      <c r="F186" s="13">
        <v>303</v>
      </c>
      <c r="G186" s="21">
        <v>58400</v>
      </c>
      <c r="H186" s="20"/>
      <c r="I186" s="19">
        <f>IF(2026-I$3&gt;IF($D186="",2026,$D186),IF(I$3=12,0.1*$G186,""),IF(2026-I$4&lt;$C186,"",I$4*$G186))</f>
        <v>5840</v>
      </c>
      <c r="J186" s="19" t="str">
        <f>IF(2026-J$3&gt;IF($D186="",2026,$D186),IF(J$3=12,0.1*$G186,""),IF(2026-J$4&lt;$C186,"",J$4*$G186))</f>
        <v/>
      </c>
      <c r="K186" s="19" t="str">
        <f>IF(2026-K$3&gt;IF($D186="",2026,$D186),IF(K$3=12,0.1*$G186,""),IF(2026-K$4&lt;$C186,"",K$4*$G186))</f>
        <v/>
      </c>
      <c r="L186" s="19" t="str">
        <f>IF(2026-L$3&gt;IF($D186="",2026,$D186),IF(L$3=12,0.1*$G186,""),IF(2026-L$4&lt;$C186,"",L$4*$G186))</f>
        <v/>
      </c>
      <c r="M186" s="19" t="str">
        <f>IF(2026-M$3&gt;IF($D186="",2026,$D186),IF(M$3=12,0.1*$G186,""),IF(2026-M$4&lt;$C186,"",M$4*$G186))</f>
        <v/>
      </c>
      <c r="N186" s="19" t="str">
        <f>IF(2026-N$3&gt;IF($D186="",2026,$D186),IF(N$3=12,0.1*$G186,""),IF(2026-N$4&lt;$C186,"",N$4*$G186))</f>
        <v/>
      </c>
      <c r="O186" s="19" t="str">
        <f>IF(2026-O$3&gt;IF($D186="",2026,$D186),IF(O$3=12,0.1*$G186,""),IF(2026-O$4&lt;$C186,"",O$4*$G186))</f>
        <v/>
      </c>
      <c r="P186" s="19" t="str">
        <f>IF(2026-P$3&gt;IF($D186="",2026,$D186),IF(P$3=12,0.1*$G186,""),IF(2026-P$4&lt;$C186,"",P$4*$G186))</f>
        <v/>
      </c>
      <c r="Q186" s="19" t="str">
        <f>IF(2026-Q$3&gt;IF($D186="",2026,$D186),IF(Q$3=12,0.1*$G186,""),IF(2026-Q$4&lt;$C186,"",Q$4*$G186))</f>
        <v/>
      </c>
      <c r="R186" s="19" t="str">
        <f>IF(2026-R$3&gt;IF($D186="",2026,$D186),IF(R$3=12,0.1*$G186,""),IF(2026-R$4&lt;$C186,"",R$4*$G186))</f>
        <v/>
      </c>
      <c r="S186" s="19" t="str">
        <f>IF(2026-S$3&gt;IF($D186="",2026,$D186),IF(S$3=12,0.1*$G186,""),IF(2026-S$4&lt;$C186,"",S$4*$G186))</f>
        <v/>
      </c>
      <c r="T186" s="19" t="str">
        <f>IF(2026-T$3&gt;IF($D186="",2026,$D186),IF(T$3=12,0.1*$G186,""),IF(2026-T$4&lt;$C186,"",T$4*$G186))</f>
        <v/>
      </c>
    </row>
    <row r="187" spans="1:20" s="18" customFormat="1" ht="12" customHeight="1" x14ac:dyDescent="0.2">
      <c r="A187" s="17"/>
      <c r="B187" s="16" t="s">
        <v>255</v>
      </c>
      <c r="C187" s="13">
        <v>2008</v>
      </c>
      <c r="D187" s="13">
        <v>2012</v>
      </c>
      <c r="E187" s="13">
        <v>2893</v>
      </c>
      <c r="F187" s="13">
        <v>255</v>
      </c>
      <c r="G187" s="21">
        <v>42000</v>
      </c>
      <c r="H187" s="20"/>
      <c r="I187" s="19">
        <f>IF(2026-I$3&gt;IF($D187="",2026,$D187),IF(I$3=12,0.1*$G187,""),IF(2026-I$4&lt;$C187,"",I$4*$G187))</f>
        <v>4200</v>
      </c>
      <c r="J187" s="19" t="str">
        <f>IF(2026-J$3&gt;IF($D187="",2026,$D187),IF(J$3=12,0.1*$G187,""),IF(2026-J$4&lt;$C187,"",J$4*$G187))</f>
        <v/>
      </c>
      <c r="K187" s="19" t="str">
        <f>IF(2026-K$3&gt;IF($D187="",2026,$D187),IF(K$3=12,0.1*$G187,""),IF(2026-K$4&lt;$C187,"",K$4*$G187))</f>
        <v/>
      </c>
      <c r="L187" s="19" t="str">
        <f>IF(2026-L$3&gt;IF($D187="",2026,$D187),IF(L$3=12,0.1*$G187,""),IF(2026-L$4&lt;$C187,"",L$4*$G187))</f>
        <v/>
      </c>
      <c r="M187" s="19" t="str">
        <f>IF(2026-M$3&gt;IF($D187="",2026,$D187),IF(M$3=12,0.1*$G187,""),IF(2026-M$4&lt;$C187,"",M$4*$G187))</f>
        <v/>
      </c>
      <c r="N187" s="19" t="str">
        <f>IF(2026-N$3&gt;IF($D187="",2026,$D187),IF(N$3=12,0.1*$G187,""),IF(2026-N$4&lt;$C187,"",N$4*$G187))</f>
        <v/>
      </c>
      <c r="O187" s="19" t="str">
        <f>IF(2026-O$3&gt;IF($D187="",2026,$D187),IF(O$3=12,0.1*$G187,""),IF(2026-O$4&lt;$C187,"",O$4*$G187))</f>
        <v/>
      </c>
      <c r="P187" s="19" t="str">
        <f>IF(2026-P$3&gt;IF($D187="",2026,$D187),IF(P$3=12,0.1*$G187,""),IF(2026-P$4&lt;$C187,"",P$4*$G187))</f>
        <v/>
      </c>
      <c r="Q187" s="19" t="str">
        <f>IF(2026-Q$3&gt;IF($D187="",2026,$D187),IF(Q$3=12,0.1*$G187,""),IF(2026-Q$4&lt;$C187,"",Q$4*$G187))</f>
        <v/>
      </c>
      <c r="R187" s="19" t="str">
        <f>IF(2026-R$3&gt;IF($D187="",2026,$D187),IF(R$3=12,0.1*$G187,""),IF(2026-R$4&lt;$C187,"",R$4*$G187))</f>
        <v/>
      </c>
      <c r="S187" s="19" t="str">
        <f>IF(2026-S$3&gt;IF($D187="",2026,$D187),IF(S$3=12,0.1*$G187,""),IF(2026-S$4&lt;$C187,"",S$4*$G187))</f>
        <v/>
      </c>
      <c r="T187" s="19" t="str">
        <f>IF(2026-T$3&gt;IF($D187="",2026,$D187),IF(T$3=12,0.1*$G187,""),IF(2026-T$4&lt;$C187,"",T$4*$G187))</f>
        <v/>
      </c>
    </row>
    <row r="188" spans="1:20" s="18" customFormat="1" ht="12" customHeight="1" x14ac:dyDescent="0.2">
      <c r="A188" s="17"/>
      <c r="B188" s="16" t="s">
        <v>248</v>
      </c>
      <c r="C188" s="13">
        <v>2008</v>
      </c>
      <c r="D188" s="13">
        <v>2012</v>
      </c>
      <c r="E188" s="13">
        <v>3436</v>
      </c>
      <c r="F188" s="13">
        <v>310</v>
      </c>
      <c r="G188" s="21">
        <v>50800</v>
      </c>
      <c r="H188" s="20"/>
      <c r="I188" s="19">
        <f>IF(2026-I$3&gt;IF($D188="",2026,$D188),IF(I$3=12,0.1*$G188,""),IF(2026-I$4&lt;$C188,"",I$4*$G188))</f>
        <v>5080</v>
      </c>
      <c r="J188" s="19" t="str">
        <f>IF(2026-J$3&gt;IF($D188="",2026,$D188),IF(J$3=12,0.1*$G188,""),IF(2026-J$4&lt;$C188,"",J$4*$G188))</f>
        <v/>
      </c>
      <c r="K188" s="19" t="str">
        <f>IF(2026-K$3&gt;IF($D188="",2026,$D188),IF(K$3=12,0.1*$G188,""),IF(2026-K$4&lt;$C188,"",K$4*$G188))</f>
        <v/>
      </c>
      <c r="L188" s="19" t="str">
        <f>IF(2026-L$3&gt;IF($D188="",2026,$D188),IF(L$3=12,0.1*$G188,""),IF(2026-L$4&lt;$C188,"",L$4*$G188))</f>
        <v/>
      </c>
      <c r="M188" s="19" t="str">
        <f>IF(2026-M$3&gt;IF($D188="",2026,$D188),IF(M$3=12,0.1*$G188,""),IF(2026-M$4&lt;$C188,"",M$4*$G188))</f>
        <v/>
      </c>
      <c r="N188" s="19" t="str">
        <f>IF(2026-N$3&gt;IF($D188="",2026,$D188),IF(N$3=12,0.1*$G188,""),IF(2026-N$4&lt;$C188,"",N$4*$G188))</f>
        <v/>
      </c>
      <c r="O188" s="19" t="str">
        <f>IF(2026-O$3&gt;IF($D188="",2026,$D188),IF(O$3=12,0.1*$G188,""),IF(2026-O$4&lt;$C188,"",O$4*$G188))</f>
        <v/>
      </c>
      <c r="P188" s="19" t="str">
        <f>IF(2026-P$3&gt;IF($D188="",2026,$D188),IF(P$3=12,0.1*$G188,""),IF(2026-P$4&lt;$C188,"",P$4*$G188))</f>
        <v/>
      </c>
      <c r="Q188" s="19" t="str">
        <f>IF(2026-Q$3&gt;IF($D188="",2026,$D188),IF(Q$3=12,0.1*$G188,""),IF(2026-Q$4&lt;$C188,"",Q$4*$G188))</f>
        <v/>
      </c>
      <c r="R188" s="19" t="str">
        <f>IF(2026-R$3&gt;IF($D188="",2026,$D188),IF(R$3=12,0.1*$G188,""),IF(2026-R$4&lt;$C188,"",R$4*$G188))</f>
        <v/>
      </c>
      <c r="S188" s="19" t="str">
        <f>IF(2026-S$3&gt;IF($D188="",2026,$D188),IF(S$3=12,0.1*$G188,""),IF(2026-S$4&lt;$C188,"",S$4*$G188))</f>
        <v/>
      </c>
      <c r="T188" s="19" t="str">
        <f>IF(2026-T$3&gt;IF($D188="",2026,$D188),IF(T$3=12,0.1*$G188,""),IF(2026-T$4&lt;$C188,"",T$4*$G188))</f>
        <v/>
      </c>
    </row>
    <row r="189" spans="1:20" s="18" customFormat="1" ht="12" customHeight="1" x14ac:dyDescent="0.2">
      <c r="A189" s="17"/>
      <c r="B189" s="16" t="s">
        <v>254</v>
      </c>
      <c r="C189" s="13">
        <v>2008</v>
      </c>
      <c r="D189" s="13">
        <v>2012</v>
      </c>
      <c r="E189" s="13">
        <v>3436</v>
      </c>
      <c r="F189" s="13">
        <v>310</v>
      </c>
      <c r="G189" s="21">
        <v>59400</v>
      </c>
      <c r="H189" s="20"/>
      <c r="I189" s="19">
        <f>IF(2026-I$3&gt;IF($D189="",2026,$D189),IF(I$3=12,0.1*$G189,""),IF(2026-I$4&lt;$C189,"",I$4*$G189))</f>
        <v>5940</v>
      </c>
      <c r="J189" s="19" t="str">
        <f>IF(2026-J$3&gt;IF($D189="",2026,$D189),IF(J$3=12,0.1*$G189,""),IF(2026-J$4&lt;$C189,"",J$4*$G189))</f>
        <v/>
      </c>
      <c r="K189" s="19" t="str">
        <f>IF(2026-K$3&gt;IF($D189="",2026,$D189),IF(K$3=12,0.1*$G189,""),IF(2026-K$4&lt;$C189,"",K$4*$G189))</f>
        <v/>
      </c>
      <c r="L189" s="19" t="str">
        <f>IF(2026-L$3&gt;IF($D189="",2026,$D189),IF(L$3=12,0.1*$G189,""),IF(2026-L$4&lt;$C189,"",L$4*$G189))</f>
        <v/>
      </c>
      <c r="M189" s="19" t="str">
        <f>IF(2026-M$3&gt;IF($D189="",2026,$D189),IF(M$3=12,0.1*$G189,""),IF(2026-M$4&lt;$C189,"",M$4*$G189))</f>
        <v/>
      </c>
      <c r="N189" s="19" t="str">
        <f>IF(2026-N$3&gt;IF($D189="",2026,$D189),IF(N$3=12,0.1*$G189,""),IF(2026-N$4&lt;$C189,"",N$4*$G189))</f>
        <v/>
      </c>
      <c r="O189" s="19" t="str">
        <f>IF(2026-O$3&gt;IF($D189="",2026,$D189),IF(O$3=12,0.1*$G189,""),IF(2026-O$4&lt;$C189,"",O$4*$G189))</f>
        <v/>
      </c>
      <c r="P189" s="19" t="str">
        <f>IF(2026-P$3&gt;IF($D189="",2026,$D189),IF(P$3=12,0.1*$G189,""),IF(2026-P$4&lt;$C189,"",P$4*$G189))</f>
        <v/>
      </c>
      <c r="Q189" s="19" t="str">
        <f>IF(2026-Q$3&gt;IF($D189="",2026,$D189),IF(Q$3=12,0.1*$G189,""),IF(2026-Q$4&lt;$C189,"",Q$4*$G189))</f>
        <v/>
      </c>
      <c r="R189" s="19" t="str">
        <f>IF(2026-R$3&gt;IF($D189="",2026,$D189),IF(R$3=12,0.1*$G189,""),IF(2026-R$4&lt;$C189,"",R$4*$G189))</f>
        <v/>
      </c>
      <c r="S189" s="19" t="str">
        <f>IF(2026-S$3&gt;IF($D189="",2026,$D189),IF(S$3=12,0.1*$G189,""),IF(2026-S$4&lt;$C189,"",S$4*$G189))</f>
        <v/>
      </c>
      <c r="T189" s="19" t="str">
        <f>IF(2026-T$3&gt;IF($D189="",2026,$D189),IF(T$3=12,0.1*$G189,""),IF(2026-T$4&lt;$C189,"",T$4*$G189))</f>
        <v/>
      </c>
    </row>
    <row r="190" spans="1:20" s="18" customFormat="1" ht="12" customHeight="1" x14ac:dyDescent="0.2">
      <c r="A190" s="17"/>
      <c r="B190" s="16" t="s">
        <v>253</v>
      </c>
      <c r="C190" s="13">
        <v>2008</v>
      </c>
      <c r="D190" s="13">
        <v>2012</v>
      </c>
      <c r="E190" s="13">
        <v>3436</v>
      </c>
      <c r="F190" s="13">
        <v>320</v>
      </c>
      <c r="G190" s="21">
        <v>58500</v>
      </c>
      <c r="H190" s="20"/>
      <c r="I190" s="19">
        <f>IF(2026-I$3&gt;IF($D190="",2026,$D190),IF(I$3=12,0.1*$G190,""),IF(2026-I$4&lt;$C190,"",I$4*$G190))</f>
        <v>5850</v>
      </c>
      <c r="J190" s="19" t="str">
        <f>IF(2026-J$3&gt;IF($D190="",2026,$D190),IF(J$3=12,0.1*$G190,""),IF(2026-J$4&lt;$C190,"",J$4*$G190))</f>
        <v/>
      </c>
      <c r="K190" s="19" t="str">
        <f>IF(2026-K$3&gt;IF($D190="",2026,$D190),IF(K$3=12,0.1*$G190,""),IF(2026-K$4&lt;$C190,"",K$4*$G190))</f>
        <v/>
      </c>
      <c r="L190" s="19" t="str">
        <f>IF(2026-L$3&gt;IF($D190="",2026,$D190),IF(L$3=12,0.1*$G190,""),IF(2026-L$4&lt;$C190,"",L$4*$G190))</f>
        <v/>
      </c>
      <c r="M190" s="19" t="str">
        <f>IF(2026-M$3&gt;IF($D190="",2026,$D190),IF(M$3=12,0.1*$G190,""),IF(2026-M$4&lt;$C190,"",M$4*$G190))</f>
        <v/>
      </c>
      <c r="N190" s="19" t="str">
        <f>IF(2026-N$3&gt;IF($D190="",2026,$D190),IF(N$3=12,0.1*$G190,""),IF(2026-N$4&lt;$C190,"",N$4*$G190))</f>
        <v/>
      </c>
      <c r="O190" s="19" t="str">
        <f>IF(2026-O$3&gt;IF($D190="",2026,$D190),IF(O$3=12,0.1*$G190,""),IF(2026-O$4&lt;$C190,"",O$4*$G190))</f>
        <v/>
      </c>
      <c r="P190" s="19" t="str">
        <f>IF(2026-P$3&gt;IF($D190="",2026,$D190),IF(P$3=12,0.1*$G190,""),IF(2026-P$4&lt;$C190,"",P$4*$G190))</f>
        <v/>
      </c>
      <c r="Q190" s="19" t="str">
        <f>IF(2026-Q$3&gt;IF($D190="",2026,$D190),IF(Q$3=12,0.1*$G190,""),IF(2026-Q$4&lt;$C190,"",Q$4*$G190))</f>
        <v/>
      </c>
      <c r="R190" s="19" t="str">
        <f>IF(2026-R$3&gt;IF($D190="",2026,$D190),IF(R$3=12,0.1*$G190,""),IF(2026-R$4&lt;$C190,"",R$4*$G190))</f>
        <v/>
      </c>
      <c r="S190" s="19" t="str">
        <f>IF(2026-S$3&gt;IF($D190="",2026,$D190),IF(S$3=12,0.1*$G190,""),IF(2026-S$4&lt;$C190,"",S$4*$G190))</f>
        <v/>
      </c>
      <c r="T190" s="19" t="str">
        <f>IF(2026-T$3&gt;IF($D190="",2026,$D190),IF(T$3=12,0.1*$G190,""),IF(2026-T$4&lt;$C190,"",T$4*$G190))</f>
        <v/>
      </c>
    </row>
    <row r="191" spans="1:20" s="18" customFormat="1" ht="12" customHeight="1" x14ac:dyDescent="0.2">
      <c r="A191" s="17"/>
      <c r="B191" s="16" t="s">
        <v>244</v>
      </c>
      <c r="C191" s="13">
        <v>2008</v>
      </c>
      <c r="D191" s="13">
        <v>2012</v>
      </c>
      <c r="E191" s="13">
        <v>3436</v>
      </c>
      <c r="F191" s="13">
        <v>320</v>
      </c>
      <c r="G191" s="21">
        <v>57700</v>
      </c>
      <c r="H191" s="20"/>
      <c r="I191" s="19">
        <f>IF(2026-I$3&gt;IF($D191="",2026,$D191),IF(I$3=12,0.1*$G191,""),IF(2026-I$4&lt;$C191,"",I$4*$G191))</f>
        <v>5770</v>
      </c>
      <c r="J191" s="19" t="str">
        <f>IF(2026-J$3&gt;IF($D191="",2026,$D191),IF(J$3=12,0.1*$G191,""),IF(2026-J$4&lt;$C191,"",J$4*$G191))</f>
        <v/>
      </c>
      <c r="K191" s="19" t="str">
        <f>IF(2026-K$3&gt;IF($D191="",2026,$D191),IF(K$3=12,0.1*$G191,""),IF(2026-K$4&lt;$C191,"",K$4*$G191))</f>
        <v/>
      </c>
      <c r="L191" s="19" t="str">
        <f>IF(2026-L$3&gt;IF($D191="",2026,$D191),IF(L$3=12,0.1*$G191,""),IF(2026-L$4&lt;$C191,"",L$4*$G191))</f>
        <v/>
      </c>
      <c r="M191" s="19" t="str">
        <f>IF(2026-M$3&gt;IF($D191="",2026,$D191),IF(M$3=12,0.1*$G191,""),IF(2026-M$4&lt;$C191,"",M$4*$G191))</f>
        <v/>
      </c>
      <c r="N191" s="19" t="str">
        <f>IF(2026-N$3&gt;IF($D191="",2026,$D191),IF(N$3=12,0.1*$G191,""),IF(2026-N$4&lt;$C191,"",N$4*$G191))</f>
        <v/>
      </c>
      <c r="O191" s="19" t="str">
        <f>IF(2026-O$3&gt;IF($D191="",2026,$D191),IF(O$3=12,0.1*$G191,""),IF(2026-O$4&lt;$C191,"",O$4*$G191))</f>
        <v/>
      </c>
      <c r="P191" s="19" t="str">
        <f>IF(2026-P$3&gt;IF($D191="",2026,$D191),IF(P$3=12,0.1*$G191,""),IF(2026-P$4&lt;$C191,"",P$4*$G191))</f>
        <v/>
      </c>
      <c r="Q191" s="19" t="str">
        <f>IF(2026-Q$3&gt;IF($D191="",2026,$D191),IF(Q$3=12,0.1*$G191,""),IF(2026-Q$4&lt;$C191,"",Q$4*$G191))</f>
        <v/>
      </c>
      <c r="R191" s="19" t="str">
        <f>IF(2026-R$3&gt;IF($D191="",2026,$D191),IF(R$3=12,0.1*$G191,""),IF(2026-R$4&lt;$C191,"",R$4*$G191))</f>
        <v/>
      </c>
      <c r="S191" s="19" t="str">
        <f>IF(2026-S$3&gt;IF($D191="",2026,$D191),IF(S$3=12,0.1*$G191,""),IF(2026-S$4&lt;$C191,"",S$4*$G191))</f>
        <v/>
      </c>
      <c r="T191" s="19" t="str">
        <f>IF(2026-T$3&gt;IF($D191="",2026,$D191),IF(T$3=12,0.1*$G191,""),IF(2026-T$4&lt;$C191,"",T$4*$G191))</f>
        <v/>
      </c>
    </row>
    <row r="192" spans="1:20" s="18" customFormat="1" ht="12" customHeight="1" x14ac:dyDescent="0.2">
      <c r="A192" s="17"/>
      <c r="B192" s="16" t="s">
        <v>252</v>
      </c>
      <c r="C192" s="13">
        <v>2012</v>
      </c>
      <c r="D192" s="13">
        <v>2016</v>
      </c>
      <c r="E192" s="13">
        <v>2706</v>
      </c>
      <c r="F192" s="13">
        <v>265</v>
      </c>
      <c r="G192" s="21">
        <v>43100</v>
      </c>
      <c r="H192" s="20"/>
      <c r="I192" s="19">
        <f>IF(2026-I$3&gt;IF($D192="",2026,$D192),IF(I$3=12,0.1*$G192,""),IF(2026-I$4&lt;$C192,"",I$4*$G192))</f>
        <v>4310</v>
      </c>
      <c r="J192" s="19">
        <f>IF(2026-J$3&gt;IF($D192="",2026,$D192),IF(J$3=12,0.1*$G192,""),IF(2026-J$4&lt;$C192,"",J$4*$G192))</f>
        <v>5603</v>
      </c>
      <c r="K192" s="19">
        <f>IF(2026-K$3&gt;IF($D192="",2026,$D192),IF(K$3=12,0.1*$G192,""),IF(2026-K$4&lt;$C192,"",K$4*$G192))</f>
        <v>7327.0000000000009</v>
      </c>
      <c r="L192" s="19" t="str">
        <f>IF(2026-L$3&gt;IF($D192="",2026,$D192),IF(L$3=12,0.1*$G192,""),IF(2026-L$4&lt;$C192,"",L$4*$G192))</f>
        <v/>
      </c>
      <c r="M192" s="19" t="str">
        <f>IF(2026-M$3&gt;IF($D192="",2026,$D192),IF(M$3=12,0.1*$G192,""),IF(2026-M$4&lt;$C192,"",M$4*$G192))</f>
        <v/>
      </c>
      <c r="N192" s="19" t="str">
        <f>IF(2026-N$3&gt;IF($D192="",2026,$D192),IF(N$3=12,0.1*$G192,""),IF(2026-N$4&lt;$C192,"",N$4*$G192))</f>
        <v/>
      </c>
      <c r="O192" s="19" t="str">
        <f>IF(2026-O$3&gt;IF($D192="",2026,$D192),IF(O$3=12,0.1*$G192,""),IF(2026-O$4&lt;$C192,"",O$4*$G192))</f>
        <v/>
      </c>
      <c r="P192" s="19" t="str">
        <f>IF(2026-P$3&gt;IF($D192="",2026,$D192),IF(P$3=12,0.1*$G192,""),IF(2026-P$4&lt;$C192,"",P$4*$G192))</f>
        <v/>
      </c>
      <c r="Q192" s="19" t="str">
        <f>IF(2026-Q$3&gt;IF($D192="",2026,$D192),IF(Q$3=12,0.1*$G192,""),IF(2026-Q$4&lt;$C192,"",Q$4*$G192))</f>
        <v/>
      </c>
      <c r="R192" s="19" t="str">
        <f>IF(2026-R$3&gt;IF($D192="",2026,$D192),IF(R$3=12,0.1*$G192,""),IF(2026-R$4&lt;$C192,"",R$4*$G192))</f>
        <v/>
      </c>
      <c r="S192" s="19" t="str">
        <f>IF(2026-S$3&gt;IF($D192="",2026,$D192),IF(S$3=12,0.1*$G192,""),IF(2026-S$4&lt;$C192,"",S$4*$G192))</f>
        <v/>
      </c>
      <c r="T192" s="19" t="str">
        <f>IF(2026-T$3&gt;IF($D192="",2026,$D192),IF(T$3=12,0.1*$G192,""),IF(2026-T$4&lt;$C192,"",T$4*$G192))</f>
        <v/>
      </c>
    </row>
    <row r="193" spans="1:20" s="18" customFormat="1" ht="12" customHeight="1" x14ac:dyDescent="0.2">
      <c r="A193" s="17"/>
      <c r="B193" s="16" t="s">
        <v>251</v>
      </c>
      <c r="C193" s="13">
        <v>2012</v>
      </c>
      <c r="D193" s="13">
        <v>2016</v>
      </c>
      <c r="E193" s="13">
        <v>2706</v>
      </c>
      <c r="F193" s="13">
        <v>265</v>
      </c>
      <c r="G193" s="21">
        <v>54200</v>
      </c>
      <c r="H193" s="20"/>
      <c r="I193" s="19">
        <f>IF(2026-I$3&gt;IF($D193="",2026,$D193),IF(I$3=12,0.1*$G193,""),IF(2026-I$4&lt;$C193,"",I$4*$G193))</f>
        <v>5420</v>
      </c>
      <c r="J193" s="19">
        <f>IF(2026-J$3&gt;IF($D193="",2026,$D193),IF(J$3=12,0.1*$G193,""),IF(2026-J$4&lt;$C193,"",J$4*$G193))</f>
        <v>7046</v>
      </c>
      <c r="K193" s="19">
        <f>IF(2026-K$3&gt;IF($D193="",2026,$D193),IF(K$3=12,0.1*$G193,""),IF(2026-K$4&lt;$C193,"",K$4*$G193))</f>
        <v>9214</v>
      </c>
      <c r="L193" s="19" t="str">
        <f>IF(2026-L$3&gt;IF($D193="",2026,$D193),IF(L$3=12,0.1*$G193,""),IF(2026-L$4&lt;$C193,"",L$4*$G193))</f>
        <v/>
      </c>
      <c r="M193" s="19" t="str">
        <f>IF(2026-M$3&gt;IF($D193="",2026,$D193),IF(M$3=12,0.1*$G193,""),IF(2026-M$4&lt;$C193,"",M$4*$G193))</f>
        <v/>
      </c>
      <c r="N193" s="19" t="str">
        <f>IF(2026-N$3&gt;IF($D193="",2026,$D193),IF(N$3=12,0.1*$G193,""),IF(2026-N$4&lt;$C193,"",N$4*$G193))</f>
        <v/>
      </c>
      <c r="O193" s="19" t="str">
        <f>IF(2026-O$3&gt;IF($D193="",2026,$D193),IF(O$3=12,0.1*$G193,""),IF(2026-O$4&lt;$C193,"",O$4*$G193))</f>
        <v/>
      </c>
      <c r="P193" s="19" t="str">
        <f>IF(2026-P$3&gt;IF($D193="",2026,$D193),IF(P$3=12,0.1*$G193,""),IF(2026-P$4&lt;$C193,"",P$4*$G193))</f>
        <v/>
      </c>
      <c r="Q193" s="19" t="str">
        <f>IF(2026-Q$3&gt;IF($D193="",2026,$D193),IF(Q$3=12,0.1*$G193,""),IF(2026-Q$4&lt;$C193,"",Q$4*$G193))</f>
        <v/>
      </c>
      <c r="R193" s="19" t="str">
        <f>IF(2026-R$3&gt;IF($D193="",2026,$D193),IF(R$3=12,0.1*$G193,""),IF(2026-R$4&lt;$C193,"",R$4*$G193))</f>
        <v/>
      </c>
      <c r="S193" s="19" t="str">
        <f>IF(2026-S$3&gt;IF($D193="",2026,$D193),IF(S$3=12,0.1*$G193,""),IF(2026-S$4&lt;$C193,"",S$4*$G193))</f>
        <v/>
      </c>
      <c r="T193" s="19" t="str">
        <f>IF(2026-T$3&gt;IF($D193="",2026,$D193),IF(T$3=12,0.1*$G193,""),IF(2026-T$4&lt;$C193,"",T$4*$G193))</f>
        <v/>
      </c>
    </row>
    <row r="194" spans="1:20" s="18" customFormat="1" ht="12" customHeight="1" x14ac:dyDescent="0.2">
      <c r="A194" s="17"/>
      <c r="B194" s="16" t="s">
        <v>250</v>
      </c>
      <c r="C194" s="13">
        <v>2012</v>
      </c>
      <c r="D194" s="13">
        <v>2016</v>
      </c>
      <c r="E194" s="13">
        <v>2706</v>
      </c>
      <c r="F194" s="13">
        <v>265</v>
      </c>
      <c r="G194" s="21">
        <v>57000</v>
      </c>
      <c r="H194" s="20"/>
      <c r="I194" s="19">
        <f>IF(2026-I$3&gt;IF($D194="",2026,$D194),IF(I$3=12,0.1*$G194,""),IF(2026-I$4&lt;$C194,"",I$4*$G194))</f>
        <v>5700</v>
      </c>
      <c r="J194" s="19">
        <f>IF(2026-J$3&gt;IF($D194="",2026,$D194),IF(J$3=12,0.1*$G194,""),IF(2026-J$4&lt;$C194,"",J$4*$G194))</f>
        <v>7410</v>
      </c>
      <c r="K194" s="19">
        <f>IF(2026-K$3&gt;IF($D194="",2026,$D194),IF(K$3=12,0.1*$G194,""),IF(2026-K$4&lt;$C194,"",K$4*$G194))</f>
        <v>9690</v>
      </c>
      <c r="L194" s="19" t="str">
        <f>IF(2026-L$3&gt;IF($D194="",2026,$D194),IF(L$3=12,0.1*$G194,""),IF(2026-L$4&lt;$C194,"",L$4*$G194))</f>
        <v/>
      </c>
      <c r="M194" s="19" t="str">
        <f>IF(2026-M$3&gt;IF($D194="",2026,$D194),IF(M$3=12,0.1*$G194,""),IF(2026-M$4&lt;$C194,"",M$4*$G194))</f>
        <v/>
      </c>
      <c r="N194" s="19" t="str">
        <f>IF(2026-N$3&gt;IF($D194="",2026,$D194),IF(N$3=12,0.1*$G194,""),IF(2026-N$4&lt;$C194,"",N$4*$G194))</f>
        <v/>
      </c>
      <c r="O194" s="19" t="str">
        <f>IF(2026-O$3&gt;IF($D194="",2026,$D194),IF(O$3=12,0.1*$G194,""),IF(2026-O$4&lt;$C194,"",O$4*$G194))</f>
        <v/>
      </c>
      <c r="P194" s="19" t="str">
        <f>IF(2026-P$3&gt;IF($D194="",2026,$D194),IF(P$3=12,0.1*$G194,""),IF(2026-P$4&lt;$C194,"",P$4*$G194))</f>
        <v/>
      </c>
      <c r="Q194" s="19" t="str">
        <f>IF(2026-Q$3&gt;IF($D194="",2026,$D194),IF(Q$3=12,0.1*$G194,""),IF(2026-Q$4&lt;$C194,"",Q$4*$G194))</f>
        <v/>
      </c>
      <c r="R194" s="19" t="str">
        <f>IF(2026-R$3&gt;IF($D194="",2026,$D194),IF(R$3=12,0.1*$G194,""),IF(2026-R$4&lt;$C194,"",R$4*$G194))</f>
        <v/>
      </c>
      <c r="S194" s="19" t="str">
        <f>IF(2026-S$3&gt;IF($D194="",2026,$D194),IF(S$3=12,0.1*$G194,""),IF(2026-S$4&lt;$C194,"",S$4*$G194))</f>
        <v/>
      </c>
      <c r="T194" s="19" t="str">
        <f>IF(2026-T$3&gt;IF($D194="",2026,$D194),IF(T$3=12,0.1*$G194,""),IF(2026-T$4&lt;$C194,"",T$4*$G194))</f>
        <v/>
      </c>
    </row>
    <row r="195" spans="1:20" s="18" customFormat="1" ht="12" customHeight="1" x14ac:dyDescent="0.2">
      <c r="A195" s="17"/>
      <c r="B195" s="16" t="s">
        <v>249</v>
      </c>
      <c r="C195" s="13">
        <v>2012</v>
      </c>
      <c r="D195" s="13">
        <v>2016</v>
      </c>
      <c r="E195" s="13">
        <v>2706</v>
      </c>
      <c r="F195" s="13">
        <v>265</v>
      </c>
      <c r="G195" s="21">
        <v>45600</v>
      </c>
      <c r="H195" s="20"/>
      <c r="I195" s="19">
        <f>IF(2026-I$3&gt;IF($D195="",2026,$D195),IF(I$3=12,0.1*$G195,""),IF(2026-I$4&lt;$C195,"",I$4*$G195))</f>
        <v>4560</v>
      </c>
      <c r="J195" s="19">
        <f>IF(2026-J$3&gt;IF($D195="",2026,$D195),IF(J$3=12,0.1*$G195,""),IF(2026-J$4&lt;$C195,"",J$4*$G195))</f>
        <v>5928</v>
      </c>
      <c r="K195" s="19">
        <f>IF(2026-K$3&gt;IF($D195="",2026,$D195),IF(K$3=12,0.1*$G195,""),IF(2026-K$4&lt;$C195,"",K$4*$G195))</f>
        <v>7752.0000000000009</v>
      </c>
      <c r="L195" s="19" t="str">
        <f>IF(2026-L$3&gt;IF($D195="",2026,$D195),IF(L$3=12,0.1*$G195,""),IF(2026-L$4&lt;$C195,"",L$4*$G195))</f>
        <v/>
      </c>
      <c r="M195" s="19" t="str">
        <f>IF(2026-M$3&gt;IF($D195="",2026,$D195),IF(M$3=12,0.1*$G195,""),IF(2026-M$4&lt;$C195,"",M$4*$G195))</f>
        <v/>
      </c>
      <c r="N195" s="19" t="str">
        <f>IF(2026-N$3&gt;IF($D195="",2026,$D195),IF(N$3=12,0.1*$G195,""),IF(2026-N$4&lt;$C195,"",N$4*$G195))</f>
        <v/>
      </c>
      <c r="O195" s="19" t="str">
        <f>IF(2026-O$3&gt;IF($D195="",2026,$D195),IF(O$3=12,0.1*$G195,""),IF(2026-O$4&lt;$C195,"",O$4*$G195))</f>
        <v/>
      </c>
      <c r="P195" s="19" t="str">
        <f>IF(2026-P$3&gt;IF($D195="",2026,$D195),IF(P$3=12,0.1*$G195,""),IF(2026-P$4&lt;$C195,"",P$4*$G195))</f>
        <v/>
      </c>
      <c r="Q195" s="19" t="str">
        <f>IF(2026-Q$3&gt;IF($D195="",2026,$D195),IF(Q$3=12,0.1*$G195,""),IF(2026-Q$4&lt;$C195,"",Q$4*$G195))</f>
        <v/>
      </c>
      <c r="R195" s="19" t="str">
        <f>IF(2026-R$3&gt;IF($D195="",2026,$D195),IF(R$3=12,0.1*$G195,""),IF(2026-R$4&lt;$C195,"",R$4*$G195))</f>
        <v/>
      </c>
      <c r="S195" s="19" t="str">
        <f>IF(2026-S$3&gt;IF($D195="",2026,$D195),IF(S$3=12,0.1*$G195,""),IF(2026-S$4&lt;$C195,"",S$4*$G195))</f>
        <v/>
      </c>
      <c r="T195" s="19" t="str">
        <f>IF(2026-T$3&gt;IF($D195="",2026,$D195),IF(T$3=12,0.1*$G195,""),IF(2026-T$4&lt;$C195,"",T$4*$G195))</f>
        <v/>
      </c>
    </row>
    <row r="196" spans="1:20" s="18" customFormat="1" ht="12" customHeight="1" x14ac:dyDescent="0.2">
      <c r="A196" s="17"/>
      <c r="B196" s="16" t="s">
        <v>248</v>
      </c>
      <c r="C196" s="13">
        <v>2012</v>
      </c>
      <c r="D196" s="13">
        <v>2016</v>
      </c>
      <c r="E196" s="13">
        <v>3436</v>
      </c>
      <c r="F196" s="13">
        <v>315</v>
      </c>
      <c r="G196" s="21">
        <v>54800</v>
      </c>
      <c r="H196" s="20"/>
      <c r="I196" s="19">
        <f>IF(2026-I$3&gt;IF($D196="",2026,$D196),IF(I$3=12,0.1*$G196,""),IF(2026-I$4&lt;$C196,"",I$4*$G196))</f>
        <v>5480</v>
      </c>
      <c r="J196" s="19">
        <f>IF(2026-J$3&gt;IF($D196="",2026,$D196),IF(J$3=12,0.1*$G196,""),IF(2026-J$4&lt;$C196,"",J$4*$G196))</f>
        <v>7124</v>
      </c>
      <c r="K196" s="19">
        <f>IF(2026-K$3&gt;IF($D196="",2026,$D196),IF(K$3=12,0.1*$G196,""),IF(2026-K$4&lt;$C196,"",K$4*$G196))</f>
        <v>9316</v>
      </c>
      <c r="L196" s="19" t="str">
        <f>IF(2026-L$3&gt;IF($D196="",2026,$D196),IF(L$3=12,0.1*$G196,""),IF(2026-L$4&lt;$C196,"",L$4*$G196))</f>
        <v/>
      </c>
      <c r="M196" s="19" t="str">
        <f>IF(2026-M$3&gt;IF($D196="",2026,$D196),IF(M$3=12,0.1*$G196,""),IF(2026-M$4&lt;$C196,"",M$4*$G196))</f>
        <v/>
      </c>
      <c r="N196" s="19" t="str">
        <f>IF(2026-N$3&gt;IF($D196="",2026,$D196),IF(N$3=12,0.1*$G196,""),IF(2026-N$4&lt;$C196,"",N$4*$G196))</f>
        <v/>
      </c>
      <c r="O196" s="19" t="str">
        <f>IF(2026-O$3&gt;IF($D196="",2026,$D196),IF(O$3=12,0.1*$G196,""),IF(2026-O$4&lt;$C196,"",O$4*$G196))</f>
        <v/>
      </c>
      <c r="P196" s="19" t="str">
        <f>IF(2026-P$3&gt;IF($D196="",2026,$D196),IF(P$3=12,0.1*$G196,""),IF(2026-P$4&lt;$C196,"",P$4*$G196))</f>
        <v/>
      </c>
      <c r="Q196" s="19" t="str">
        <f>IF(2026-Q$3&gt;IF($D196="",2026,$D196),IF(Q$3=12,0.1*$G196,""),IF(2026-Q$4&lt;$C196,"",Q$4*$G196))</f>
        <v/>
      </c>
      <c r="R196" s="19" t="str">
        <f>IF(2026-R$3&gt;IF($D196="",2026,$D196),IF(R$3=12,0.1*$G196,""),IF(2026-R$4&lt;$C196,"",R$4*$G196))</f>
        <v/>
      </c>
      <c r="S196" s="19" t="str">
        <f>IF(2026-S$3&gt;IF($D196="",2026,$D196),IF(S$3=12,0.1*$G196,""),IF(2026-S$4&lt;$C196,"",S$4*$G196))</f>
        <v/>
      </c>
      <c r="T196" s="19" t="str">
        <f>IF(2026-T$3&gt;IF($D196="",2026,$D196),IF(T$3=12,0.1*$G196,""),IF(2026-T$4&lt;$C196,"",T$4*$G196))</f>
        <v/>
      </c>
    </row>
    <row r="197" spans="1:20" s="18" customFormat="1" ht="12" customHeight="1" x14ac:dyDescent="0.2">
      <c r="A197" s="17"/>
      <c r="B197" s="16" t="s">
        <v>247</v>
      </c>
      <c r="C197" s="13">
        <v>2012</v>
      </c>
      <c r="D197" s="13">
        <v>2016</v>
      </c>
      <c r="E197" s="13">
        <v>3436</v>
      </c>
      <c r="F197" s="13">
        <v>315</v>
      </c>
      <c r="G197" s="21">
        <v>55300</v>
      </c>
      <c r="H197" s="20"/>
      <c r="I197" s="19">
        <f>IF(2026-I$3&gt;IF($D197="",2026,$D197),IF(I$3=12,0.1*$G197,""),IF(2026-I$4&lt;$C197,"",I$4*$G197))</f>
        <v>5530</v>
      </c>
      <c r="J197" s="19">
        <f>IF(2026-J$3&gt;IF($D197="",2026,$D197),IF(J$3=12,0.1*$G197,""),IF(2026-J$4&lt;$C197,"",J$4*$G197))</f>
        <v>7189</v>
      </c>
      <c r="K197" s="19">
        <f>IF(2026-K$3&gt;IF($D197="",2026,$D197),IF(K$3=12,0.1*$G197,""),IF(2026-K$4&lt;$C197,"",K$4*$G197))</f>
        <v>9401</v>
      </c>
      <c r="L197" s="19" t="str">
        <f>IF(2026-L$3&gt;IF($D197="",2026,$D197),IF(L$3=12,0.1*$G197,""),IF(2026-L$4&lt;$C197,"",L$4*$G197))</f>
        <v/>
      </c>
      <c r="M197" s="19" t="str">
        <f>IF(2026-M$3&gt;IF($D197="",2026,$D197),IF(M$3=12,0.1*$G197,""),IF(2026-M$4&lt;$C197,"",M$4*$G197))</f>
        <v/>
      </c>
      <c r="N197" s="19" t="str">
        <f>IF(2026-N$3&gt;IF($D197="",2026,$D197),IF(N$3=12,0.1*$G197,""),IF(2026-N$4&lt;$C197,"",N$4*$G197))</f>
        <v/>
      </c>
      <c r="O197" s="19" t="str">
        <f>IF(2026-O$3&gt;IF($D197="",2026,$D197),IF(O$3=12,0.1*$G197,""),IF(2026-O$4&lt;$C197,"",O$4*$G197))</f>
        <v/>
      </c>
      <c r="P197" s="19" t="str">
        <f>IF(2026-P$3&gt;IF($D197="",2026,$D197),IF(P$3=12,0.1*$G197,""),IF(2026-P$4&lt;$C197,"",P$4*$G197))</f>
        <v/>
      </c>
      <c r="Q197" s="19" t="str">
        <f>IF(2026-Q$3&gt;IF($D197="",2026,$D197),IF(Q$3=12,0.1*$G197,""),IF(2026-Q$4&lt;$C197,"",Q$4*$G197))</f>
        <v/>
      </c>
      <c r="R197" s="19" t="str">
        <f>IF(2026-R$3&gt;IF($D197="",2026,$D197),IF(R$3=12,0.1*$G197,""),IF(2026-R$4&lt;$C197,"",R$4*$G197))</f>
        <v/>
      </c>
      <c r="S197" s="19" t="str">
        <f>IF(2026-S$3&gt;IF($D197="",2026,$D197),IF(S$3=12,0.1*$G197,""),IF(2026-S$4&lt;$C197,"",S$4*$G197))</f>
        <v/>
      </c>
      <c r="T197" s="19" t="str">
        <f>IF(2026-T$3&gt;IF($D197="",2026,$D197),IF(T$3=12,0.1*$G197,""),IF(2026-T$4&lt;$C197,"",T$4*$G197))</f>
        <v/>
      </c>
    </row>
    <row r="198" spans="1:20" s="18" customFormat="1" ht="12" customHeight="1" x14ac:dyDescent="0.2">
      <c r="A198" s="17"/>
      <c r="B198" s="16" t="s">
        <v>246</v>
      </c>
      <c r="C198" s="13">
        <v>2012</v>
      </c>
      <c r="D198" s="13">
        <v>2016</v>
      </c>
      <c r="E198" s="13">
        <v>3436</v>
      </c>
      <c r="F198" s="13">
        <v>330</v>
      </c>
      <c r="G198" s="21">
        <v>66200</v>
      </c>
      <c r="H198" s="20"/>
      <c r="I198" s="19">
        <f>IF(2026-I$3&gt;IF($D198="",2026,$D198),IF(I$3=12,0.1*$G198,""),IF(2026-I$4&lt;$C198,"",I$4*$G198))</f>
        <v>6620</v>
      </c>
      <c r="J198" s="19">
        <f>IF(2026-J$3&gt;IF($D198="",2026,$D198),IF(J$3=12,0.1*$G198,""),IF(2026-J$4&lt;$C198,"",J$4*$G198))</f>
        <v>8606</v>
      </c>
      <c r="K198" s="19">
        <f>IF(2026-K$3&gt;IF($D198="",2026,$D198),IF(K$3=12,0.1*$G198,""),IF(2026-K$4&lt;$C198,"",K$4*$G198))</f>
        <v>11254</v>
      </c>
      <c r="L198" s="19" t="str">
        <f>IF(2026-L$3&gt;IF($D198="",2026,$D198),IF(L$3=12,0.1*$G198,""),IF(2026-L$4&lt;$C198,"",L$4*$G198))</f>
        <v/>
      </c>
      <c r="M198" s="19" t="str">
        <f>IF(2026-M$3&gt;IF($D198="",2026,$D198),IF(M$3=12,0.1*$G198,""),IF(2026-M$4&lt;$C198,"",M$4*$G198))</f>
        <v/>
      </c>
      <c r="N198" s="19" t="str">
        <f>IF(2026-N$3&gt;IF($D198="",2026,$D198),IF(N$3=12,0.1*$G198,""),IF(2026-N$4&lt;$C198,"",N$4*$G198))</f>
        <v/>
      </c>
      <c r="O198" s="19" t="str">
        <f>IF(2026-O$3&gt;IF($D198="",2026,$D198),IF(O$3=12,0.1*$G198,""),IF(2026-O$4&lt;$C198,"",O$4*$G198))</f>
        <v/>
      </c>
      <c r="P198" s="19" t="str">
        <f>IF(2026-P$3&gt;IF($D198="",2026,$D198),IF(P$3=12,0.1*$G198,""),IF(2026-P$4&lt;$C198,"",P$4*$G198))</f>
        <v/>
      </c>
      <c r="Q198" s="19" t="str">
        <f>IF(2026-Q$3&gt;IF($D198="",2026,$D198),IF(Q$3=12,0.1*$G198,""),IF(2026-Q$4&lt;$C198,"",Q$4*$G198))</f>
        <v/>
      </c>
      <c r="R198" s="19" t="str">
        <f>IF(2026-R$3&gt;IF($D198="",2026,$D198),IF(R$3=12,0.1*$G198,""),IF(2026-R$4&lt;$C198,"",R$4*$G198))</f>
        <v/>
      </c>
      <c r="S198" s="19" t="str">
        <f>IF(2026-S$3&gt;IF($D198="",2026,$D198),IF(S$3=12,0.1*$G198,""),IF(2026-S$4&lt;$C198,"",S$4*$G198))</f>
        <v/>
      </c>
      <c r="T198" s="19" t="str">
        <f>IF(2026-T$3&gt;IF($D198="",2026,$D198),IF(T$3=12,0.1*$G198,""),IF(2026-T$4&lt;$C198,"",T$4*$G198))</f>
        <v/>
      </c>
    </row>
    <row r="199" spans="1:20" s="18" customFormat="1" ht="12" customHeight="1" x14ac:dyDescent="0.2">
      <c r="A199" s="17"/>
      <c r="B199" s="16" t="s">
        <v>245</v>
      </c>
      <c r="C199" s="13">
        <v>2012</v>
      </c>
      <c r="D199" s="13">
        <v>2016</v>
      </c>
      <c r="E199" s="13">
        <v>3436</v>
      </c>
      <c r="F199" s="13">
        <v>330</v>
      </c>
      <c r="G199" s="21">
        <v>66300</v>
      </c>
      <c r="H199" s="20"/>
      <c r="I199" s="19">
        <f>IF(2026-I$3&gt;IF($D199="",2026,$D199),IF(I$3=12,0.1*$G199,""),IF(2026-I$4&lt;$C199,"",I$4*$G199))</f>
        <v>6630</v>
      </c>
      <c r="J199" s="19">
        <f>IF(2026-J$3&gt;IF($D199="",2026,$D199),IF(J$3=12,0.1*$G199,""),IF(2026-J$4&lt;$C199,"",J$4*$G199))</f>
        <v>8619</v>
      </c>
      <c r="K199" s="19">
        <f>IF(2026-K$3&gt;IF($D199="",2026,$D199),IF(K$3=12,0.1*$G199,""),IF(2026-K$4&lt;$C199,"",K$4*$G199))</f>
        <v>11271</v>
      </c>
      <c r="L199" s="19" t="str">
        <f>IF(2026-L$3&gt;IF($D199="",2026,$D199),IF(L$3=12,0.1*$G199,""),IF(2026-L$4&lt;$C199,"",L$4*$G199))</f>
        <v/>
      </c>
      <c r="M199" s="19" t="str">
        <f>IF(2026-M$3&gt;IF($D199="",2026,$D199),IF(M$3=12,0.1*$G199,""),IF(2026-M$4&lt;$C199,"",M$4*$G199))</f>
        <v/>
      </c>
      <c r="N199" s="19" t="str">
        <f>IF(2026-N$3&gt;IF($D199="",2026,$D199),IF(N$3=12,0.1*$G199,""),IF(2026-N$4&lt;$C199,"",N$4*$G199))</f>
        <v/>
      </c>
      <c r="O199" s="19" t="str">
        <f>IF(2026-O$3&gt;IF($D199="",2026,$D199),IF(O$3=12,0.1*$G199,""),IF(2026-O$4&lt;$C199,"",O$4*$G199))</f>
        <v/>
      </c>
      <c r="P199" s="19" t="str">
        <f>IF(2026-P$3&gt;IF($D199="",2026,$D199),IF(P$3=12,0.1*$G199,""),IF(2026-P$4&lt;$C199,"",P$4*$G199))</f>
        <v/>
      </c>
      <c r="Q199" s="19" t="str">
        <f>IF(2026-Q$3&gt;IF($D199="",2026,$D199),IF(Q$3=12,0.1*$G199,""),IF(2026-Q$4&lt;$C199,"",Q$4*$G199))</f>
        <v/>
      </c>
      <c r="R199" s="19" t="str">
        <f>IF(2026-R$3&gt;IF($D199="",2026,$D199),IF(R$3=12,0.1*$G199,""),IF(2026-R$4&lt;$C199,"",R$4*$G199))</f>
        <v/>
      </c>
      <c r="S199" s="19" t="str">
        <f>IF(2026-S$3&gt;IF($D199="",2026,$D199),IF(S$3=12,0.1*$G199,""),IF(2026-S$4&lt;$C199,"",S$4*$G199))</f>
        <v/>
      </c>
      <c r="T199" s="19" t="str">
        <f>IF(2026-T$3&gt;IF($D199="",2026,$D199),IF(T$3=12,0.1*$G199,""),IF(2026-T$4&lt;$C199,"",T$4*$G199))</f>
        <v/>
      </c>
    </row>
    <row r="200" spans="1:20" s="18" customFormat="1" ht="12" customHeight="1" x14ac:dyDescent="0.2">
      <c r="A200" s="17"/>
      <c r="B200" s="16" t="s">
        <v>244</v>
      </c>
      <c r="C200" s="13">
        <v>2012</v>
      </c>
      <c r="D200" s="13">
        <v>2016</v>
      </c>
      <c r="E200" s="13">
        <v>3800</v>
      </c>
      <c r="F200" s="13">
        <v>375</v>
      </c>
      <c r="G200" s="21">
        <v>75500</v>
      </c>
      <c r="H200" s="20"/>
      <c r="I200" s="19">
        <f>IF(2026-I$3&gt;IF($D200="",2026,$D200),IF(I$3=12,0.1*$G200,""),IF(2026-I$4&lt;$C200,"",I$4*$G200))</f>
        <v>7550</v>
      </c>
      <c r="J200" s="19">
        <f>IF(2026-J$3&gt;IF($D200="",2026,$D200),IF(J$3=12,0.1*$G200,""),IF(2026-J$4&lt;$C200,"",J$4*$G200))</f>
        <v>9815</v>
      </c>
      <c r="K200" s="19">
        <f>IF(2026-K$3&gt;IF($D200="",2026,$D200),IF(K$3=12,0.1*$G200,""),IF(2026-K$4&lt;$C200,"",K$4*$G200))</f>
        <v>12835.000000000002</v>
      </c>
      <c r="L200" s="19" t="str">
        <f>IF(2026-L$3&gt;IF($D200="",2026,$D200),IF(L$3=12,0.1*$G200,""),IF(2026-L$4&lt;$C200,"",L$4*$G200))</f>
        <v/>
      </c>
      <c r="M200" s="19" t="str">
        <f>IF(2026-M$3&gt;IF($D200="",2026,$D200),IF(M$3=12,0.1*$G200,""),IF(2026-M$4&lt;$C200,"",M$4*$G200))</f>
        <v/>
      </c>
      <c r="N200" s="19" t="str">
        <f>IF(2026-N$3&gt;IF($D200="",2026,$D200),IF(N$3=12,0.1*$G200,""),IF(2026-N$4&lt;$C200,"",N$4*$G200))</f>
        <v/>
      </c>
      <c r="O200" s="19" t="str">
        <f>IF(2026-O$3&gt;IF($D200="",2026,$D200),IF(O$3=12,0.1*$G200,""),IF(2026-O$4&lt;$C200,"",O$4*$G200))</f>
        <v/>
      </c>
      <c r="P200" s="19" t="str">
        <f>IF(2026-P$3&gt;IF($D200="",2026,$D200),IF(P$3=12,0.1*$G200,""),IF(2026-P$4&lt;$C200,"",P$4*$G200))</f>
        <v/>
      </c>
      <c r="Q200" s="19" t="str">
        <f>IF(2026-Q$3&gt;IF($D200="",2026,$D200),IF(Q$3=12,0.1*$G200,""),IF(2026-Q$4&lt;$C200,"",Q$4*$G200))</f>
        <v/>
      </c>
      <c r="R200" s="19" t="str">
        <f>IF(2026-R$3&gt;IF($D200="",2026,$D200),IF(R$3=12,0.1*$G200,""),IF(2026-R$4&lt;$C200,"",R$4*$G200))</f>
        <v/>
      </c>
      <c r="S200" s="19" t="str">
        <f>IF(2026-S$3&gt;IF($D200="",2026,$D200),IF(S$3=12,0.1*$G200,""),IF(2026-S$4&lt;$C200,"",S$4*$G200))</f>
        <v/>
      </c>
      <c r="T200" s="19" t="str">
        <f>IF(2026-T$3&gt;IF($D200="",2026,$D200),IF(T$3=12,0.1*$G200,""),IF(2026-T$4&lt;$C200,"",T$4*$G200))</f>
        <v/>
      </c>
    </row>
    <row r="201" spans="1:20" s="18" customFormat="1" ht="12" customHeight="1" x14ac:dyDescent="0.2">
      <c r="A201" s="17"/>
      <c r="B201" s="16"/>
      <c r="C201" s="13"/>
      <c r="D201" s="13"/>
      <c r="E201" s="13"/>
      <c r="F201" s="13"/>
      <c r="G201" s="21"/>
      <c r="H201" s="20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s="18" customFormat="1" ht="12" customHeight="1" x14ac:dyDescent="0.2">
      <c r="A202" s="17"/>
      <c r="B202" s="16" t="s">
        <v>243</v>
      </c>
      <c r="C202" s="13">
        <v>2005</v>
      </c>
      <c r="D202" s="13">
        <v>2008</v>
      </c>
      <c r="E202" s="13">
        <v>2687</v>
      </c>
      <c r="F202" s="13">
        <v>245</v>
      </c>
      <c r="G202" s="21">
        <v>42900</v>
      </c>
      <c r="H202" s="20"/>
      <c r="I202" s="19">
        <f>IF(2026-I$3&gt;IF($D202="",2026,$D202),IF(I$3=12,0.1*$G202,""),IF(2026-I$4&lt;$C202,"",I$4*$G202))</f>
        <v>4290</v>
      </c>
      <c r="J202" s="19" t="str">
        <f>IF(2026-J$3&gt;IF($D202="",2026,$D202),IF(J$3=12,0.1*$G202,""),IF(2026-J$4&lt;$C202,"",J$4*$G202))</f>
        <v/>
      </c>
      <c r="K202" s="19" t="str">
        <f>IF(2026-K$3&gt;IF($D202="",2026,$D202),IF(K$3=12,0.1*$G202,""),IF(2026-K$4&lt;$C202,"",K$4*$G202))</f>
        <v/>
      </c>
      <c r="L202" s="19" t="str">
        <f>IF(2026-L$3&gt;IF($D202="",2026,$D202),IF(L$3=12,0.1*$G202,""),IF(2026-L$4&lt;$C202,"",L$4*$G202))</f>
        <v/>
      </c>
      <c r="M202" s="19" t="str">
        <f>IF(2026-M$3&gt;IF($D202="",2026,$D202),IF(M$3=12,0.1*$G202,""),IF(2026-M$4&lt;$C202,"",M$4*$G202))</f>
        <v/>
      </c>
      <c r="N202" s="19" t="str">
        <f>IF(2026-N$3&gt;IF($D202="",2026,$D202),IF(N$3=12,0.1*$G202,""),IF(2026-N$4&lt;$C202,"",N$4*$G202))</f>
        <v/>
      </c>
      <c r="O202" s="19" t="str">
        <f>IF(2026-O$3&gt;IF($D202="",2026,$D202),IF(O$3=12,0.1*$G202,""),IF(2026-O$4&lt;$C202,"",O$4*$G202))</f>
        <v/>
      </c>
      <c r="P202" s="19" t="str">
        <f>IF(2026-P$3&gt;IF($D202="",2026,$D202),IF(P$3=12,0.1*$G202,""),IF(2026-P$4&lt;$C202,"",P$4*$G202))</f>
        <v/>
      </c>
      <c r="Q202" s="19" t="str">
        <f>IF(2026-Q$3&gt;IF($D202="",2026,$D202),IF(Q$3=12,0.1*$G202,""),IF(2026-Q$4&lt;$C202,"",Q$4*$G202))</f>
        <v/>
      </c>
      <c r="R202" s="19" t="str">
        <f>IF(2026-R$3&gt;IF($D202="",2026,$D202),IF(R$3=12,0.1*$G202,""),IF(2026-R$4&lt;$C202,"",R$4*$G202))</f>
        <v/>
      </c>
      <c r="S202" s="19" t="str">
        <f>IF(2026-S$3&gt;IF($D202="",2026,$D202),IF(S$3=12,0.1*$G202,""),IF(2026-S$4&lt;$C202,"",S$4*$G202))</f>
        <v/>
      </c>
      <c r="T202" s="19" t="str">
        <f>IF(2026-T$3&gt;IF($D202="",2026,$D202),IF(T$3=12,0.1*$G202,""),IF(2026-T$4&lt;$C202,"",T$4*$G202))</f>
        <v/>
      </c>
    </row>
    <row r="203" spans="1:20" s="18" customFormat="1" ht="12" customHeight="1" x14ac:dyDescent="0.2">
      <c r="A203" s="17"/>
      <c r="B203" s="16" t="s">
        <v>242</v>
      </c>
      <c r="C203" s="13">
        <v>2005</v>
      </c>
      <c r="D203" s="13">
        <v>2008</v>
      </c>
      <c r="E203" s="13">
        <v>3387</v>
      </c>
      <c r="F203" s="13">
        <v>295</v>
      </c>
      <c r="G203" s="21">
        <v>50000</v>
      </c>
      <c r="H203" s="20"/>
      <c r="I203" s="19">
        <f>IF(2026-I$3&gt;IF($D203="",2026,$D203),IF(I$3=12,0.1*$G203,""),IF(2026-I$4&lt;$C203,"",I$4*$G203))</f>
        <v>5000</v>
      </c>
      <c r="J203" s="19" t="str">
        <f>IF(2026-J$3&gt;IF($D203="",2026,$D203),IF(J$3=12,0.1*$G203,""),IF(2026-J$4&lt;$C203,"",J$4*$G203))</f>
        <v/>
      </c>
      <c r="K203" s="19" t="str">
        <f>IF(2026-K$3&gt;IF($D203="",2026,$D203),IF(K$3=12,0.1*$G203,""),IF(2026-K$4&lt;$C203,"",K$4*$G203))</f>
        <v/>
      </c>
      <c r="L203" s="19" t="str">
        <f>IF(2026-L$3&gt;IF($D203="",2026,$D203),IF(L$3=12,0.1*$G203,""),IF(2026-L$4&lt;$C203,"",L$4*$G203))</f>
        <v/>
      </c>
      <c r="M203" s="19" t="str">
        <f>IF(2026-M$3&gt;IF($D203="",2026,$D203),IF(M$3=12,0.1*$G203,""),IF(2026-M$4&lt;$C203,"",M$4*$G203))</f>
        <v/>
      </c>
      <c r="N203" s="19" t="str">
        <f>IF(2026-N$3&gt;IF($D203="",2026,$D203),IF(N$3=12,0.1*$G203,""),IF(2026-N$4&lt;$C203,"",N$4*$G203))</f>
        <v/>
      </c>
      <c r="O203" s="19" t="str">
        <f>IF(2026-O$3&gt;IF($D203="",2026,$D203),IF(O$3=12,0.1*$G203,""),IF(2026-O$4&lt;$C203,"",O$4*$G203))</f>
        <v/>
      </c>
      <c r="P203" s="19" t="str">
        <f>IF(2026-P$3&gt;IF($D203="",2026,$D203),IF(P$3=12,0.1*$G203,""),IF(2026-P$4&lt;$C203,"",P$4*$G203))</f>
        <v/>
      </c>
      <c r="Q203" s="19" t="str">
        <f>IF(2026-Q$3&gt;IF($D203="",2026,$D203),IF(Q$3=12,0.1*$G203,""),IF(2026-Q$4&lt;$C203,"",Q$4*$G203))</f>
        <v/>
      </c>
      <c r="R203" s="19" t="str">
        <f>IF(2026-R$3&gt;IF($D203="",2026,$D203),IF(R$3=12,0.1*$G203,""),IF(2026-R$4&lt;$C203,"",R$4*$G203))</f>
        <v/>
      </c>
      <c r="S203" s="19" t="str">
        <f>IF(2026-S$3&gt;IF($D203="",2026,$D203),IF(S$3=12,0.1*$G203,""),IF(2026-S$4&lt;$C203,"",S$4*$G203))</f>
        <v/>
      </c>
      <c r="T203" s="19" t="str">
        <f>IF(2026-T$3&gt;IF($D203="",2026,$D203),IF(T$3=12,0.1*$G203,""),IF(2026-T$4&lt;$C203,"",T$4*$G203))</f>
        <v/>
      </c>
    </row>
    <row r="204" spans="1:20" s="18" customFormat="1" ht="12" customHeight="1" x14ac:dyDescent="0.2">
      <c r="A204" s="17"/>
      <c r="B204" s="16" t="s">
        <v>241</v>
      </c>
      <c r="C204" s="13">
        <v>2005</v>
      </c>
      <c r="D204" s="13">
        <v>2008</v>
      </c>
      <c r="E204" s="13">
        <v>3387</v>
      </c>
      <c r="F204" s="13">
        <v>295</v>
      </c>
      <c r="G204" s="21">
        <v>53000</v>
      </c>
      <c r="H204" s="20"/>
      <c r="I204" s="19">
        <f>IF(2026-I$3&gt;IF($D204="",2026,$D204),IF(I$3=12,0.1*$G204,""),IF(2026-I$4&lt;$C204,"",I$4*$G204))</f>
        <v>5300</v>
      </c>
      <c r="J204" s="19" t="str">
        <f>IF(2026-J$3&gt;IF($D204="",2026,$D204),IF(J$3=12,0.1*$G204,""),IF(2026-J$4&lt;$C204,"",J$4*$G204))</f>
        <v/>
      </c>
      <c r="K204" s="19" t="str">
        <f>IF(2026-K$3&gt;IF($D204="",2026,$D204),IF(K$3=12,0.1*$G204,""),IF(2026-K$4&lt;$C204,"",K$4*$G204))</f>
        <v/>
      </c>
      <c r="L204" s="19" t="str">
        <f>IF(2026-L$3&gt;IF($D204="",2026,$D204),IF(L$3=12,0.1*$G204,""),IF(2026-L$4&lt;$C204,"",L$4*$G204))</f>
        <v/>
      </c>
      <c r="M204" s="19" t="str">
        <f>IF(2026-M$3&gt;IF($D204="",2026,$D204),IF(M$3=12,0.1*$G204,""),IF(2026-M$4&lt;$C204,"",M$4*$G204))</f>
        <v/>
      </c>
      <c r="N204" s="19" t="str">
        <f>IF(2026-N$3&gt;IF($D204="",2026,$D204),IF(N$3=12,0.1*$G204,""),IF(2026-N$4&lt;$C204,"",N$4*$G204))</f>
        <v/>
      </c>
      <c r="O204" s="19" t="str">
        <f>IF(2026-O$3&gt;IF($D204="",2026,$D204),IF(O$3=12,0.1*$G204,""),IF(2026-O$4&lt;$C204,"",O$4*$G204))</f>
        <v/>
      </c>
      <c r="P204" s="19" t="str">
        <f>IF(2026-P$3&gt;IF($D204="",2026,$D204),IF(P$3=12,0.1*$G204,""),IF(2026-P$4&lt;$C204,"",P$4*$G204))</f>
        <v/>
      </c>
      <c r="Q204" s="19" t="str">
        <f>IF(2026-Q$3&gt;IF($D204="",2026,$D204),IF(Q$3=12,0.1*$G204,""),IF(2026-Q$4&lt;$C204,"",Q$4*$G204))</f>
        <v/>
      </c>
      <c r="R204" s="19" t="str">
        <f>IF(2026-R$3&gt;IF($D204="",2026,$D204),IF(R$3=12,0.1*$G204,""),IF(2026-R$4&lt;$C204,"",R$4*$G204))</f>
        <v/>
      </c>
      <c r="S204" s="19" t="str">
        <f>IF(2026-S$3&gt;IF($D204="",2026,$D204),IF(S$3=12,0.1*$G204,""),IF(2026-S$4&lt;$C204,"",S$4*$G204))</f>
        <v/>
      </c>
      <c r="T204" s="19" t="str">
        <f>IF(2026-T$3&gt;IF($D204="",2026,$D204),IF(T$3=12,0.1*$G204,""),IF(2026-T$4&lt;$C204,"",T$4*$G204))</f>
        <v/>
      </c>
    </row>
    <row r="205" spans="1:20" s="18" customFormat="1" ht="12" customHeight="1" x14ac:dyDescent="0.2">
      <c r="A205" s="17"/>
      <c r="B205" s="16" t="s">
        <v>240</v>
      </c>
      <c r="C205" s="13">
        <v>2005</v>
      </c>
      <c r="D205" s="13">
        <v>2008</v>
      </c>
      <c r="E205" s="13">
        <v>3387</v>
      </c>
      <c r="F205" s="13">
        <v>295</v>
      </c>
      <c r="G205" s="21">
        <v>62300</v>
      </c>
      <c r="H205" s="20"/>
      <c r="I205" s="19">
        <f>IF(2026-I$3&gt;IF($D205="",2026,$D205),IF(I$3=12,0.1*$G205,""),IF(2026-I$4&lt;$C205,"",I$4*$G205))</f>
        <v>6230</v>
      </c>
      <c r="J205" s="19" t="str">
        <f>IF(2026-J$3&gt;IF($D205="",2026,$D205),IF(J$3=12,0.1*$G205,""),IF(2026-J$4&lt;$C205,"",J$4*$G205))</f>
        <v/>
      </c>
      <c r="K205" s="19" t="str">
        <f>IF(2026-K$3&gt;IF($D205="",2026,$D205),IF(K$3=12,0.1*$G205,""),IF(2026-K$4&lt;$C205,"",K$4*$G205))</f>
        <v/>
      </c>
      <c r="L205" s="19" t="str">
        <f>IF(2026-L$3&gt;IF($D205="",2026,$D205),IF(L$3=12,0.1*$G205,""),IF(2026-L$4&lt;$C205,"",L$4*$G205))</f>
        <v/>
      </c>
      <c r="M205" s="19" t="str">
        <f>IF(2026-M$3&gt;IF($D205="",2026,$D205),IF(M$3=12,0.1*$G205,""),IF(2026-M$4&lt;$C205,"",M$4*$G205))</f>
        <v/>
      </c>
      <c r="N205" s="19" t="str">
        <f>IF(2026-N$3&gt;IF($D205="",2026,$D205),IF(N$3=12,0.1*$G205,""),IF(2026-N$4&lt;$C205,"",N$4*$G205))</f>
        <v/>
      </c>
      <c r="O205" s="19" t="str">
        <f>IF(2026-O$3&gt;IF($D205="",2026,$D205),IF(O$3=12,0.1*$G205,""),IF(2026-O$4&lt;$C205,"",O$4*$G205))</f>
        <v/>
      </c>
      <c r="P205" s="19" t="str">
        <f>IF(2026-P$3&gt;IF($D205="",2026,$D205),IF(P$3=12,0.1*$G205,""),IF(2026-P$4&lt;$C205,"",P$4*$G205))</f>
        <v/>
      </c>
      <c r="Q205" s="19" t="str">
        <f>IF(2026-Q$3&gt;IF($D205="",2026,$D205),IF(Q$3=12,0.1*$G205,""),IF(2026-Q$4&lt;$C205,"",Q$4*$G205))</f>
        <v/>
      </c>
      <c r="R205" s="19" t="str">
        <f>IF(2026-R$3&gt;IF($D205="",2026,$D205),IF(R$3=12,0.1*$G205,""),IF(2026-R$4&lt;$C205,"",R$4*$G205))</f>
        <v/>
      </c>
      <c r="S205" s="19" t="str">
        <f>IF(2026-S$3&gt;IF($D205="",2026,$D205),IF(S$3=12,0.1*$G205,""),IF(2026-S$4&lt;$C205,"",S$4*$G205))</f>
        <v/>
      </c>
      <c r="T205" s="19" t="str">
        <f>IF(2026-T$3&gt;IF($D205="",2026,$D205),IF(T$3=12,0.1*$G205,""),IF(2026-T$4&lt;$C205,"",T$4*$G205))</f>
        <v/>
      </c>
    </row>
    <row r="206" spans="1:20" s="18" customFormat="1" ht="12" customHeight="1" x14ac:dyDescent="0.2">
      <c r="A206" s="17"/>
      <c r="B206" s="16" t="s">
        <v>239</v>
      </c>
      <c r="C206" s="13">
        <v>2005</v>
      </c>
      <c r="D206" s="13">
        <v>2008</v>
      </c>
      <c r="E206" s="13">
        <v>3387</v>
      </c>
      <c r="F206" s="13">
        <v>303</v>
      </c>
      <c r="G206" s="21">
        <v>62300</v>
      </c>
      <c r="H206" s="20"/>
      <c r="I206" s="19">
        <f>IF(2026-I$3&gt;IF($D206="",2026,$D206),IF(I$3=12,0.1*$G206,""),IF(2026-I$4&lt;$C206,"",I$4*$G206))</f>
        <v>6230</v>
      </c>
      <c r="J206" s="19" t="str">
        <f>IF(2026-J$3&gt;IF($D206="",2026,$D206),IF(J$3=12,0.1*$G206,""),IF(2026-J$4&lt;$C206,"",J$4*$G206))</f>
        <v/>
      </c>
      <c r="K206" s="19" t="str">
        <f>IF(2026-K$3&gt;IF($D206="",2026,$D206),IF(K$3=12,0.1*$G206,""),IF(2026-K$4&lt;$C206,"",K$4*$G206))</f>
        <v/>
      </c>
      <c r="L206" s="19" t="str">
        <f>IF(2026-L$3&gt;IF($D206="",2026,$D206),IF(L$3=12,0.1*$G206,""),IF(2026-L$4&lt;$C206,"",L$4*$G206))</f>
        <v/>
      </c>
      <c r="M206" s="19" t="str">
        <f>IF(2026-M$3&gt;IF($D206="",2026,$D206),IF(M$3=12,0.1*$G206,""),IF(2026-M$4&lt;$C206,"",M$4*$G206))</f>
        <v/>
      </c>
      <c r="N206" s="19" t="str">
        <f>IF(2026-N$3&gt;IF($D206="",2026,$D206),IF(N$3=12,0.1*$G206,""),IF(2026-N$4&lt;$C206,"",N$4*$G206))</f>
        <v/>
      </c>
      <c r="O206" s="19" t="str">
        <f>IF(2026-O$3&gt;IF($D206="",2026,$D206),IF(O$3=12,0.1*$G206,""),IF(2026-O$4&lt;$C206,"",O$4*$G206))</f>
        <v/>
      </c>
      <c r="P206" s="19" t="str">
        <f>IF(2026-P$3&gt;IF($D206="",2026,$D206),IF(P$3=12,0.1*$G206,""),IF(2026-P$4&lt;$C206,"",P$4*$G206))</f>
        <v/>
      </c>
      <c r="Q206" s="19" t="str">
        <f>IF(2026-Q$3&gt;IF($D206="",2026,$D206),IF(Q$3=12,0.1*$G206,""),IF(2026-Q$4&lt;$C206,"",Q$4*$G206))</f>
        <v/>
      </c>
      <c r="R206" s="19" t="str">
        <f>IF(2026-R$3&gt;IF($D206="",2026,$D206),IF(R$3=12,0.1*$G206,""),IF(2026-R$4&lt;$C206,"",R$4*$G206))</f>
        <v/>
      </c>
      <c r="S206" s="19" t="str">
        <f>IF(2026-S$3&gt;IF($D206="",2026,$D206),IF(S$3=12,0.1*$G206,""),IF(2026-S$4&lt;$C206,"",S$4*$G206))</f>
        <v/>
      </c>
      <c r="T206" s="19" t="str">
        <f>IF(2026-T$3&gt;IF($D206="",2026,$D206),IF(T$3=12,0.1*$G206,""),IF(2026-T$4&lt;$C206,"",T$4*$G206))</f>
        <v/>
      </c>
    </row>
    <row r="207" spans="1:20" s="18" customFormat="1" ht="12" customHeight="1" x14ac:dyDescent="0.2">
      <c r="A207" s="17"/>
      <c r="B207" s="16" t="s">
        <v>238</v>
      </c>
      <c r="C207" s="13">
        <v>2008</v>
      </c>
      <c r="D207" s="13">
        <v>2012</v>
      </c>
      <c r="E207" s="13">
        <v>2893</v>
      </c>
      <c r="F207" s="13">
        <v>265</v>
      </c>
      <c r="G207" s="21">
        <v>45400</v>
      </c>
      <c r="H207" s="20"/>
      <c r="I207" s="19">
        <f>IF(2026-I$3&gt;IF($D207="",2026,$D207),IF(I$3=12,0.1*$G207,""),IF(2026-I$4&lt;$C207,"",I$4*$G207))</f>
        <v>4540</v>
      </c>
      <c r="J207" s="19" t="str">
        <f>IF(2026-J$3&gt;IF($D207="",2026,$D207),IF(J$3=12,0.1*$G207,""),IF(2026-J$4&lt;$C207,"",J$4*$G207))</f>
        <v/>
      </c>
      <c r="K207" s="19" t="str">
        <f>IF(2026-K$3&gt;IF($D207="",2026,$D207),IF(K$3=12,0.1*$G207,""),IF(2026-K$4&lt;$C207,"",K$4*$G207))</f>
        <v/>
      </c>
      <c r="L207" s="19" t="str">
        <f>IF(2026-L$3&gt;IF($D207="",2026,$D207),IF(L$3=12,0.1*$G207,""),IF(2026-L$4&lt;$C207,"",L$4*$G207))</f>
        <v/>
      </c>
      <c r="M207" s="19" t="str">
        <f>IF(2026-M$3&gt;IF($D207="",2026,$D207),IF(M$3=12,0.1*$G207,""),IF(2026-M$4&lt;$C207,"",M$4*$G207))</f>
        <v/>
      </c>
      <c r="N207" s="19" t="str">
        <f>IF(2026-N$3&gt;IF($D207="",2026,$D207),IF(N$3=12,0.1*$G207,""),IF(2026-N$4&lt;$C207,"",N$4*$G207))</f>
        <v/>
      </c>
      <c r="O207" s="19" t="str">
        <f>IF(2026-O$3&gt;IF($D207="",2026,$D207),IF(O$3=12,0.1*$G207,""),IF(2026-O$4&lt;$C207,"",O$4*$G207))</f>
        <v/>
      </c>
      <c r="P207" s="19" t="str">
        <f>IF(2026-P$3&gt;IF($D207="",2026,$D207),IF(P$3=12,0.1*$G207,""),IF(2026-P$4&lt;$C207,"",P$4*$G207))</f>
        <v/>
      </c>
      <c r="Q207" s="19" t="str">
        <f>IF(2026-Q$3&gt;IF($D207="",2026,$D207),IF(Q$3=12,0.1*$G207,""),IF(2026-Q$4&lt;$C207,"",Q$4*$G207))</f>
        <v/>
      </c>
      <c r="R207" s="19" t="str">
        <f>IF(2026-R$3&gt;IF($D207="",2026,$D207),IF(R$3=12,0.1*$G207,""),IF(2026-R$4&lt;$C207,"",R$4*$G207))</f>
        <v/>
      </c>
      <c r="S207" s="19" t="str">
        <f>IF(2026-S$3&gt;IF($D207="",2026,$D207),IF(S$3=12,0.1*$G207,""),IF(2026-S$4&lt;$C207,"",S$4*$G207))</f>
        <v/>
      </c>
      <c r="T207" s="19" t="str">
        <f>IF(2026-T$3&gt;IF($D207="",2026,$D207),IF(T$3=12,0.1*$G207,""),IF(2026-T$4&lt;$C207,"",T$4*$G207))</f>
        <v/>
      </c>
    </row>
    <row r="208" spans="1:20" s="18" customFormat="1" ht="12" customHeight="1" x14ac:dyDescent="0.2">
      <c r="A208" s="17"/>
      <c r="B208" s="16" t="s">
        <v>230</v>
      </c>
      <c r="C208" s="13">
        <v>2008</v>
      </c>
      <c r="D208" s="13">
        <v>2012</v>
      </c>
      <c r="E208" s="13">
        <v>3436</v>
      </c>
      <c r="F208" s="13">
        <v>320</v>
      </c>
      <c r="G208" s="21">
        <v>56000</v>
      </c>
      <c r="H208" s="20"/>
      <c r="I208" s="19">
        <f>IF(2026-I$3&gt;IF($D208="",2026,$D208),IF(I$3=12,0.1*$G208,""),IF(2026-I$4&lt;$C208,"",I$4*$G208))</f>
        <v>5600</v>
      </c>
      <c r="J208" s="19" t="str">
        <f>IF(2026-J$3&gt;IF($D208="",2026,$D208),IF(J$3=12,0.1*$G208,""),IF(2026-J$4&lt;$C208,"",J$4*$G208))</f>
        <v/>
      </c>
      <c r="K208" s="19" t="str">
        <f>IF(2026-K$3&gt;IF($D208="",2026,$D208),IF(K$3=12,0.1*$G208,""),IF(2026-K$4&lt;$C208,"",K$4*$G208))</f>
        <v/>
      </c>
      <c r="L208" s="19" t="str">
        <f>IF(2026-L$3&gt;IF($D208="",2026,$D208),IF(L$3=12,0.1*$G208,""),IF(2026-L$4&lt;$C208,"",L$4*$G208))</f>
        <v/>
      </c>
      <c r="M208" s="19" t="str">
        <f>IF(2026-M$3&gt;IF($D208="",2026,$D208),IF(M$3=12,0.1*$G208,""),IF(2026-M$4&lt;$C208,"",M$4*$G208))</f>
        <v/>
      </c>
      <c r="N208" s="19" t="str">
        <f>IF(2026-N$3&gt;IF($D208="",2026,$D208),IF(N$3=12,0.1*$G208,""),IF(2026-N$4&lt;$C208,"",N$4*$G208))</f>
        <v/>
      </c>
      <c r="O208" s="19" t="str">
        <f>IF(2026-O$3&gt;IF($D208="",2026,$D208),IF(O$3=12,0.1*$G208,""),IF(2026-O$4&lt;$C208,"",O$4*$G208))</f>
        <v/>
      </c>
      <c r="P208" s="19" t="str">
        <f>IF(2026-P$3&gt;IF($D208="",2026,$D208),IF(P$3=12,0.1*$G208,""),IF(2026-P$4&lt;$C208,"",P$4*$G208))</f>
        <v/>
      </c>
      <c r="Q208" s="19" t="str">
        <f>IF(2026-Q$3&gt;IF($D208="",2026,$D208),IF(Q$3=12,0.1*$G208,""),IF(2026-Q$4&lt;$C208,"",Q$4*$G208))</f>
        <v/>
      </c>
      <c r="R208" s="19" t="str">
        <f>IF(2026-R$3&gt;IF($D208="",2026,$D208),IF(R$3=12,0.1*$G208,""),IF(2026-R$4&lt;$C208,"",R$4*$G208))</f>
        <v/>
      </c>
      <c r="S208" s="19" t="str">
        <f>IF(2026-S$3&gt;IF($D208="",2026,$D208),IF(S$3=12,0.1*$G208,""),IF(2026-S$4&lt;$C208,"",S$4*$G208))</f>
        <v/>
      </c>
      <c r="T208" s="19" t="str">
        <f>IF(2026-T$3&gt;IF($D208="",2026,$D208),IF(T$3=12,0.1*$G208,""),IF(2026-T$4&lt;$C208,"",T$4*$G208))</f>
        <v/>
      </c>
    </row>
    <row r="209" spans="1:20" s="18" customFormat="1" ht="12" customHeight="1" x14ac:dyDescent="0.2">
      <c r="A209" s="17"/>
      <c r="B209" s="16" t="s">
        <v>237</v>
      </c>
      <c r="C209" s="13">
        <v>2008</v>
      </c>
      <c r="D209" s="13">
        <v>2012</v>
      </c>
      <c r="E209" s="13">
        <v>3436</v>
      </c>
      <c r="F209" s="13">
        <v>320</v>
      </c>
      <c r="G209" s="21">
        <v>63300</v>
      </c>
      <c r="H209" s="20"/>
      <c r="I209" s="19">
        <f>IF(2026-I$3&gt;IF($D209="",2026,$D209),IF(I$3=12,0.1*$G209,""),IF(2026-I$4&lt;$C209,"",I$4*$G209))</f>
        <v>6330</v>
      </c>
      <c r="J209" s="19" t="str">
        <f>IF(2026-J$3&gt;IF($D209="",2026,$D209),IF(J$3=12,0.1*$G209,""),IF(2026-J$4&lt;$C209,"",J$4*$G209))</f>
        <v/>
      </c>
      <c r="K209" s="19" t="str">
        <f>IF(2026-K$3&gt;IF($D209="",2026,$D209),IF(K$3=12,0.1*$G209,""),IF(2026-K$4&lt;$C209,"",K$4*$G209))</f>
        <v/>
      </c>
      <c r="L209" s="19" t="str">
        <f>IF(2026-L$3&gt;IF($D209="",2026,$D209),IF(L$3=12,0.1*$G209,""),IF(2026-L$4&lt;$C209,"",L$4*$G209))</f>
        <v/>
      </c>
      <c r="M209" s="19" t="str">
        <f>IF(2026-M$3&gt;IF($D209="",2026,$D209),IF(M$3=12,0.1*$G209,""),IF(2026-M$4&lt;$C209,"",M$4*$G209))</f>
        <v/>
      </c>
      <c r="N209" s="19" t="str">
        <f>IF(2026-N$3&gt;IF($D209="",2026,$D209),IF(N$3=12,0.1*$G209,""),IF(2026-N$4&lt;$C209,"",N$4*$G209))</f>
        <v/>
      </c>
      <c r="O209" s="19" t="str">
        <f>IF(2026-O$3&gt;IF($D209="",2026,$D209),IF(O$3=12,0.1*$G209,""),IF(2026-O$4&lt;$C209,"",O$4*$G209))</f>
        <v/>
      </c>
      <c r="P209" s="19" t="str">
        <f>IF(2026-P$3&gt;IF($D209="",2026,$D209),IF(P$3=12,0.1*$G209,""),IF(2026-P$4&lt;$C209,"",P$4*$G209))</f>
        <v/>
      </c>
      <c r="Q209" s="19" t="str">
        <f>IF(2026-Q$3&gt;IF($D209="",2026,$D209),IF(Q$3=12,0.1*$G209,""),IF(2026-Q$4&lt;$C209,"",Q$4*$G209))</f>
        <v/>
      </c>
      <c r="R209" s="19" t="str">
        <f>IF(2026-R$3&gt;IF($D209="",2026,$D209),IF(R$3=12,0.1*$G209,""),IF(2026-R$4&lt;$C209,"",R$4*$G209))</f>
        <v/>
      </c>
      <c r="S209" s="19" t="str">
        <f>IF(2026-S$3&gt;IF($D209="",2026,$D209),IF(S$3=12,0.1*$G209,""),IF(2026-S$4&lt;$C209,"",S$4*$G209))</f>
        <v/>
      </c>
      <c r="T209" s="19" t="str">
        <f>IF(2026-T$3&gt;IF($D209="",2026,$D209),IF(T$3=12,0.1*$G209,""),IF(2026-T$4&lt;$C209,"",T$4*$G209))</f>
        <v/>
      </c>
    </row>
    <row r="210" spans="1:20" s="18" customFormat="1" ht="12" customHeight="1" x14ac:dyDescent="0.2">
      <c r="A210" s="17"/>
      <c r="B210" s="16" t="s">
        <v>236</v>
      </c>
      <c r="C210" s="13">
        <v>2008</v>
      </c>
      <c r="D210" s="13">
        <v>2012</v>
      </c>
      <c r="E210" s="13">
        <v>3436</v>
      </c>
      <c r="F210" s="13">
        <v>330</v>
      </c>
      <c r="G210" s="21">
        <v>64200</v>
      </c>
      <c r="H210" s="20"/>
      <c r="I210" s="19">
        <f>IF(2026-I$3&gt;IF($D210="",2026,$D210),IF(I$3=12,0.1*$G210,""),IF(2026-I$4&lt;$C210,"",I$4*$G210))</f>
        <v>6420</v>
      </c>
      <c r="J210" s="19" t="str">
        <f>IF(2026-J$3&gt;IF($D210="",2026,$D210),IF(J$3=12,0.1*$G210,""),IF(2026-J$4&lt;$C210,"",J$4*$G210))</f>
        <v/>
      </c>
      <c r="K210" s="19" t="str">
        <f>IF(2026-K$3&gt;IF($D210="",2026,$D210),IF(K$3=12,0.1*$G210,""),IF(2026-K$4&lt;$C210,"",K$4*$G210))</f>
        <v/>
      </c>
      <c r="L210" s="19" t="str">
        <f>IF(2026-L$3&gt;IF($D210="",2026,$D210),IF(L$3=12,0.1*$G210,""),IF(2026-L$4&lt;$C210,"",L$4*$G210))</f>
        <v/>
      </c>
      <c r="M210" s="19" t="str">
        <f>IF(2026-M$3&gt;IF($D210="",2026,$D210),IF(M$3=12,0.1*$G210,""),IF(2026-M$4&lt;$C210,"",M$4*$G210))</f>
        <v/>
      </c>
      <c r="N210" s="19" t="str">
        <f>IF(2026-N$3&gt;IF($D210="",2026,$D210),IF(N$3=12,0.1*$G210,""),IF(2026-N$4&lt;$C210,"",N$4*$G210))</f>
        <v/>
      </c>
      <c r="O210" s="19" t="str">
        <f>IF(2026-O$3&gt;IF($D210="",2026,$D210),IF(O$3=12,0.1*$G210,""),IF(2026-O$4&lt;$C210,"",O$4*$G210))</f>
        <v/>
      </c>
      <c r="P210" s="19" t="str">
        <f>IF(2026-P$3&gt;IF($D210="",2026,$D210),IF(P$3=12,0.1*$G210,""),IF(2026-P$4&lt;$C210,"",P$4*$G210))</f>
        <v/>
      </c>
      <c r="Q210" s="19" t="str">
        <f>IF(2026-Q$3&gt;IF($D210="",2026,$D210),IF(Q$3=12,0.1*$G210,""),IF(2026-Q$4&lt;$C210,"",Q$4*$G210))</f>
        <v/>
      </c>
      <c r="R210" s="19" t="str">
        <f>IF(2026-R$3&gt;IF($D210="",2026,$D210),IF(R$3=12,0.1*$G210,""),IF(2026-R$4&lt;$C210,"",R$4*$G210))</f>
        <v/>
      </c>
      <c r="S210" s="19" t="str">
        <f>IF(2026-S$3&gt;IF($D210="",2026,$D210),IF(S$3=12,0.1*$G210,""),IF(2026-S$4&lt;$C210,"",S$4*$G210))</f>
        <v/>
      </c>
      <c r="T210" s="19" t="str">
        <f>IF(2026-T$3&gt;IF($D210="",2026,$D210),IF(T$3=12,0.1*$G210,""),IF(2026-T$4&lt;$C210,"",T$4*$G210))</f>
        <v/>
      </c>
    </row>
    <row r="211" spans="1:20" s="18" customFormat="1" ht="12" customHeight="1" x14ac:dyDescent="0.2">
      <c r="A211" s="17"/>
      <c r="B211" s="16" t="s">
        <v>235</v>
      </c>
      <c r="C211" s="13">
        <v>2008</v>
      </c>
      <c r="D211" s="13">
        <v>2012</v>
      </c>
      <c r="E211" s="13">
        <v>3436</v>
      </c>
      <c r="F211" s="13">
        <v>330</v>
      </c>
      <c r="G211" s="21">
        <v>62400</v>
      </c>
      <c r="H211" s="20"/>
      <c r="I211" s="19">
        <f>IF(2026-I$3&gt;IF($D211="",2026,$D211),IF(I$3=12,0.1*$G211,""),IF(2026-I$4&lt;$C211,"",I$4*$G211))</f>
        <v>6240</v>
      </c>
      <c r="J211" s="19" t="str">
        <f>IF(2026-J$3&gt;IF($D211="",2026,$D211),IF(J$3=12,0.1*$G211,""),IF(2026-J$4&lt;$C211,"",J$4*$G211))</f>
        <v/>
      </c>
      <c r="K211" s="19" t="str">
        <f>IF(2026-K$3&gt;IF($D211="",2026,$D211),IF(K$3=12,0.1*$G211,""),IF(2026-K$4&lt;$C211,"",K$4*$G211))</f>
        <v/>
      </c>
      <c r="L211" s="19" t="str">
        <f>IF(2026-L$3&gt;IF($D211="",2026,$D211),IF(L$3=12,0.1*$G211,""),IF(2026-L$4&lt;$C211,"",L$4*$G211))</f>
        <v/>
      </c>
      <c r="M211" s="19" t="str">
        <f>IF(2026-M$3&gt;IF($D211="",2026,$D211),IF(M$3=12,0.1*$G211,""),IF(2026-M$4&lt;$C211,"",M$4*$G211))</f>
        <v/>
      </c>
      <c r="N211" s="19" t="str">
        <f>IF(2026-N$3&gt;IF($D211="",2026,$D211),IF(N$3=12,0.1*$G211,""),IF(2026-N$4&lt;$C211,"",N$4*$G211))</f>
        <v/>
      </c>
      <c r="O211" s="19" t="str">
        <f>IF(2026-O$3&gt;IF($D211="",2026,$D211),IF(O$3=12,0.1*$G211,""),IF(2026-O$4&lt;$C211,"",O$4*$G211))</f>
        <v/>
      </c>
      <c r="P211" s="19" t="str">
        <f>IF(2026-P$3&gt;IF($D211="",2026,$D211),IF(P$3=12,0.1*$G211,""),IF(2026-P$4&lt;$C211,"",P$4*$G211))</f>
        <v/>
      </c>
      <c r="Q211" s="19" t="str">
        <f>IF(2026-Q$3&gt;IF($D211="",2026,$D211),IF(Q$3=12,0.1*$G211,""),IF(2026-Q$4&lt;$C211,"",Q$4*$G211))</f>
        <v/>
      </c>
      <c r="R211" s="19" t="str">
        <f>IF(2026-R$3&gt;IF($D211="",2026,$D211),IF(R$3=12,0.1*$G211,""),IF(2026-R$4&lt;$C211,"",R$4*$G211))</f>
        <v/>
      </c>
      <c r="S211" s="19" t="str">
        <f>IF(2026-S$3&gt;IF($D211="",2026,$D211),IF(S$3=12,0.1*$G211,""),IF(2026-S$4&lt;$C211,"",S$4*$G211))</f>
        <v/>
      </c>
      <c r="T211" s="19" t="str">
        <f>IF(2026-T$3&gt;IF($D211="",2026,$D211),IF(T$3=12,0.1*$G211,""),IF(2026-T$4&lt;$C211,"",T$4*$G211))</f>
        <v/>
      </c>
    </row>
    <row r="212" spans="1:20" s="18" customFormat="1" ht="12" customHeight="1" x14ac:dyDescent="0.2">
      <c r="A212" s="17"/>
      <c r="B212" s="16" t="s">
        <v>234</v>
      </c>
      <c r="C212" s="13">
        <v>2013</v>
      </c>
      <c r="D212" s="13">
        <v>2016</v>
      </c>
      <c r="E212" s="13">
        <v>2706</v>
      </c>
      <c r="F212" s="13">
        <v>275</v>
      </c>
      <c r="G212" s="21">
        <v>47100</v>
      </c>
      <c r="H212" s="20"/>
      <c r="I212" s="19">
        <f>IF(2026-I$3&gt;IF($D212="",2026,$D212),IF(I$3=12,0.1*$G212,""),IF(2026-I$4&lt;$C212,"",I$4*$G212))</f>
        <v>4710</v>
      </c>
      <c r="J212" s="19">
        <f>IF(2026-J$3&gt;IF($D212="",2026,$D212),IF(J$3=12,0.1*$G212,""),IF(2026-J$4&lt;$C212,"",J$4*$G212))</f>
        <v>6123</v>
      </c>
      <c r="K212" s="19">
        <f>IF(2026-K$3&gt;IF($D212="",2026,$D212),IF(K$3=12,0.1*$G212,""),IF(2026-K$4&lt;$C212,"",K$4*$G212))</f>
        <v>8007.0000000000009</v>
      </c>
      <c r="L212" s="19" t="str">
        <f>IF(2026-L$3&gt;IF($D212="",2026,$D212),IF(L$3=12,0.1*$G212,""),IF(2026-L$4&lt;$C212,"",L$4*$G212))</f>
        <v/>
      </c>
      <c r="M212" s="19" t="str">
        <f>IF(2026-M$3&gt;IF($D212="",2026,$D212),IF(M$3=12,0.1*$G212,""),IF(2026-M$4&lt;$C212,"",M$4*$G212))</f>
        <v/>
      </c>
      <c r="N212" s="19" t="str">
        <f>IF(2026-N$3&gt;IF($D212="",2026,$D212),IF(N$3=12,0.1*$G212,""),IF(2026-N$4&lt;$C212,"",N$4*$G212))</f>
        <v/>
      </c>
      <c r="O212" s="19" t="str">
        <f>IF(2026-O$3&gt;IF($D212="",2026,$D212),IF(O$3=12,0.1*$G212,""),IF(2026-O$4&lt;$C212,"",O$4*$G212))</f>
        <v/>
      </c>
      <c r="P212" s="19" t="str">
        <f>IF(2026-P$3&gt;IF($D212="",2026,$D212),IF(P$3=12,0.1*$G212,""),IF(2026-P$4&lt;$C212,"",P$4*$G212))</f>
        <v/>
      </c>
      <c r="Q212" s="19" t="str">
        <f>IF(2026-Q$3&gt;IF($D212="",2026,$D212),IF(Q$3=12,0.1*$G212,""),IF(2026-Q$4&lt;$C212,"",Q$4*$G212))</f>
        <v/>
      </c>
      <c r="R212" s="19" t="str">
        <f>IF(2026-R$3&gt;IF($D212="",2026,$D212),IF(R$3=12,0.1*$G212,""),IF(2026-R$4&lt;$C212,"",R$4*$G212))</f>
        <v/>
      </c>
      <c r="S212" s="19" t="str">
        <f>IF(2026-S$3&gt;IF($D212="",2026,$D212),IF(S$3=12,0.1*$G212,""),IF(2026-S$4&lt;$C212,"",S$4*$G212))</f>
        <v/>
      </c>
      <c r="T212" s="19" t="str">
        <f>IF(2026-T$3&gt;IF($D212="",2026,$D212),IF(T$3=12,0.1*$G212,""),IF(2026-T$4&lt;$C212,"",T$4*$G212))</f>
        <v/>
      </c>
    </row>
    <row r="213" spans="1:20" s="18" customFormat="1" ht="12" customHeight="1" x14ac:dyDescent="0.2">
      <c r="A213" s="17"/>
      <c r="B213" s="16" t="s">
        <v>233</v>
      </c>
      <c r="C213" s="13">
        <v>2013</v>
      </c>
      <c r="D213" s="13">
        <v>2016</v>
      </c>
      <c r="E213" s="13">
        <v>2706</v>
      </c>
      <c r="F213" s="13">
        <v>275</v>
      </c>
      <c r="G213" s="21">
        <v>54400</v>
      </c>
      <c r="H213" s="20"/>
      <c r="I213" s="19">
        <f>IF(2026-I$3&gt;IF($D213="",2026,$D213),IF(I$3=12,0.1*$G213,""),IF(2026-I$4&lt;$C213,"",I$4*$G213))</f>
        <v>5440</v>
      </c>
      <c r="J213" s="19">
        <f>IF(2026-J$3&gt;IF($D213="",2026,$D213),IF(J$3=12,0.1*$G213,""),IF(2026-J$4&lt;$C213,"",J$4*$G213))</f>
        <v>7072</v>
      </c>
      <c r="K213" s="19">
        <f>IF(2026-K$3&gt;IF($D213="",2026,$D213),IF(K$3=12,0.1*$G213,""),IF(2026-K$4&lt;$C213,"",K$4*$G213))</f>
        <v>9248</v>
      </c>
      <c r="L213" s="19" t="str">
        <f>IF(2026-L$3&gt;IF($D213="",2026,$D213),IF(L$3=12,0.1*$G213,""),IF(2026-L$4&lt;$C213,"",L$4*$G213))</f>
        <v/>
      </c>
      <c r="M213" s="19" t="str">
        <f>IF(2026-M$3&gt;IF($D213="",2026,$D213),IF(M$3=12,0.1*$G213,""),IF(2026-M$4&lt;$C213,"",M$4*$G213))</f>
        <v/>
      </c>
      <c r="N213" s="19" t="str">
        <f>IF(2026-N$3&gt;IF($D213="",2026,$D213),IF(N$3=12,0.1*$G213,""),IF(2026-N$4&lt;$C213,"",N$4*$G213))</f>
        <v/>
      </c>
      <c r="O213" s="19" t="str">
        <f>IF(2026-O$3&gt;IF($D213="",2026,$D213),IF(O$3=12,0.1*$G213,""),IF(2026-O$4&lt;$C213,"",O$4*$G213))</f>
        <v/>
      </c>
      <c r="P213" s="19" t="str">
        <f>IF(2026-P$3&gt;IF($D213="",2026,$D213),IF(P$3=12,0.1*$G213,""),IF(2026-P$4&lt;$C213,"",P$4*$G213))</f>
        <v/>
      </c>
      <c r="Q213" s="19" t="str">
        <f>IF(2026-Q$3&gt;IF($D213="",2026,$D213),IF(Q$3=12,0.1*$G213,""),IF(2026-Q$4&lt;$C213,"",Q$4*$G213))</f>
        <v/>
      </c>
      <c r="R213" s="19" t="str">
        <f>IF(2026-R$3&gt;IF($D213="",2026,$D213),IF(R$3=12,0.1*$G213,""),IF(2026-R$4&lt;$C213,"",R$4*$G213))</f>
        <v/>
      </c>
      <c r="S213" s="19" t="str">
        <f>IF(2026-S$3&gt;IF($D213="",2026,$D213),IF(S$3=12,0.1*$G213,""),IF(2026-S$4&lt;$C213,"",S$4*$G213))</f>
        <v/>
      </c>
      <c r="T213" s="19" t="str">
        <f>IF(2026-T$3&gt;IF($D213="",2026,$D213),IF(T$3=12,0.1*$G213,""),IF(2026-T$4&lt;$C213,"",T$4*$G213))</f>
        <v/>
      </c>
    </row>
    <row r="214" spans="1:20" s="18" customFormat="1" ht="12" customHeight="1" x14ac:dyDescent="0.2">
      <c r="A214" s="17"/>
      <c r="B214" s="16" t="s">
        <v>232</v>
      </c>
      <c r="C214" s="13">
        <v>2013</v>
      </c>
      <c r="D214" s="13">
        <v>2016</v>
      </c>
      <c r="E214" s="13">
        <v>2706</v>
      </c>
      <c r="F214" s="13">
        <v>275</v>
      </c>
      <c r="G214" s="21">
        <v>57100</v>
      </c>
      <c r="H214" s="20"/>
      <c r="I214" s="19">
        <f>IF(2026-I$3&gt;IF($D214="",2026,$D214),IF(I$3=12,0.1*$G214,""),IF(2026-I$4&lt;$C214,"",I$4*$G214))</f>
        <v>5710</v>
      </c>
      <c r="J214" s="19">
        <f>IF(2026-J$3&gt;IF($D214="",2026,$D214),IF(J$3=12,0.1*$G214,""),IF(2026-J$4&lt;$C214,"",J$4*$G214))</f>
        <v>7423</v>
      </c>
      <c r="K214" s="19">
        <f>IF(2026-K$3&gt;IF($D214="",2026,$D214),IF(K$3=12,0.1*$G214,""),IF(2026-K$4&lt;$C214,"",K$4*$G214))</f>
        <v>9707</v>
      </c>
      <c r="L214" s="19" t="str">
        <f>IF(2026-L$3&gt;IF($D214="",2026,$D214),IF(L$3=12,0.1*$G214,""),IF(2026-L$4&lt;$C214,"",L$4*$G214))</f>
        <v/>
      </c>
      <c r="M214" s="19" t="str">
        <f>IF(2026-M$3&gt;IF($D214="",2026,$D214),IF(M$3=12,0.1*$G214,""),IF(2026-M$4&lt;$C214,"",M$4*$G214))</f>
        <v/>
      </c>
      <c r="N214" s="19" t="str">
        <f>IF(2026-N$3&gt;IF($D214="",2026,$D214),IF(N$3=12,0.1*$G214,""),IF(2026-N$4&lt;$C214,"",N$4*$G214))</f>
        <v/>
      </c>
      <c r="O214" s="19" t="str">
        <f>IF(2026-O$3&gt;IF($D214="",2026,$D214),IF(O$3=12,0.1*$G214,""),IF(2026-O$4&lt;$C214,"",O$4*$G214))</f>
        <v/>
      </c>
      <c r="P214" s="19" t="str">
        <f>IF(2026-P$3&gt;IF($D214="",2026,$D214),IF(P$3=12,0.1*$G214,""),IF(2026-P$4&lt;$C214,"",P$4*$G214))</f>
        <v/>
      </c>
      <c r="Q214" s="19" t="str">
        <f>IF(2026-Q$3&gt;IF($D214="",2026,$D214),IF(Q$3=12,0.1*$G214,""),IF(2026-Q$4&lt;$C214,"",Q$4*$G214))</f>
        <v/>
      </c>
      <c r="R214" s="19" t="str">
        <f>IF(2026-R$3&gt;IF($D214="",2026,$D214),IF(R$3=12,0.1*$G214,""),IF(2026-R$4&lt;$C214,"",R$4*$G214))</f>
        <v/>
      </c>
      <c r="S214" s="19" t="str">
        <f>IF(2026-S$3&gt;IF($D214="",2026,$D214),IF(S$3=12,0.1*$G214,""),IF(2026-S$4&lt;$C214,"",S$4*$G214))</f>
        <v/>
      </c>
      <c r="T214" s="19" t="str">
        <f>IF(2026-T$3&gt;IF($D214="",2026,$D214),IF(T$3=12,0.1*$G214,""),IF(2026-T$4&lt;$C214,"",T$4*$G214))</f>
        <v/>
      </c>
    </row>
    <row r="215" spans="1:20" s="18" customFormat="1" ht="12" customHeight="1" x14ac:dyDescent="0.2">
      <c r="A215" s="17"/>
      <c r="B215" s="16" t="s">
        <v>231</v>
      </c>
      <c r="C215" s="13">
        <v>2013</v>
      </c>
      <c r="D215" s="13">
        <v>2016</v>
      </c>
      <c r="E215" s="13">
        <v>2706</v>
      </c>
      <c r="F215" s="13">
        <v>275</v>
      </c>
      <c r="G215" s="21">
        <v>49500</v>
      </c>
      <c r="H215" s="20"/>
      <c r="I215" s="19">
        <f>IF(2026-I$3&gt;IF($D215="",2026,$D215),IF(I$3=12,0.1*$G215,""),IF(2026-I$4&lt;$C215,"",I$4*$G215))</f>
        <v>4950</v>
      </c>
      <c r="J215" s="19">
        <f>IF(2026-J$3&gt;IF($D215="",2026,$D215),IF(J$3=12,0.1*$G215,""),IF(2026-J$4&lt;$C215,"",J$4*$G215))</f>
        <v>6435</v>
      </c>
      <c r="K215" s="19">
        <f>IF(2026-K$3&gt;IF($D215="",2026,$D215),IF(K$3=12,0.1*$G215,""),IF(2026-K$4&lt;$C215,"",K$4*$G215))</f>
        <v>8415</v>
      </c>
      <c r="L215" s="19" t="str">
        <f>IF(2026-L$3&gt;IF($D215="",2026,$D215),IF(L$3=12,0.1*$G215,""),IF(2026-L$4&lt;$C215,"",L$4*$G215))</f>
        <v/>
      </c>
      <c r="M215" s="19" t="str">
        <f>IF(2026-M$3&gt;IF($D215="",2026,$D215),IF(M$3=12,0.1*$G215,""),IF(2026-M$4&lt;$C215,"",M$4*$G215))</f>
        <v/>
      </c>
      <c r="N215" s="19" t="str">
        <f>IF(2026-N$3&gt;IF($D215="",2026,$D215),IF(N$3=12,0.1*$G215,""),IF(2026-N$4&lt;$C215,"",N$4*$G215))</f>
        <v/>
      </c>
      <c r="O215" s="19" t="str">
        <f>IF(2026-O$3&gt;IF($D215="",2026,$D215),IF(O$3=12,0.1*$G215,""),IF(2026-O$4&lt;$C215,"",O$4*$G215))</f>
        <v/>
      </c>
      <c r="P215" s="19" t="str">
        <f>IF(2026-P$3&gt;IF($D215="",2026,$D215),IF(P$3=12,0.1*$G215,""),IF(2026-P$4&lt;$C215,"",P$4*$G215))</f>
        <v/>
      </c>
      <c r="Q215" s="19" t="str">
        <f>IF(2026-Q$3&gt;IF($D215="",2026,$D215),IF(Q$3=12,0.1*$G215,""),IF(2026-Q$4&lt;$C215,"",Q$4*$G215))</f>
        <v/>
      </c>
      <c r="R215" s="19" t="str">
        <f>IF(2026-R$3&gt;IF($D215="",2026,$D215),IF(R$3=12,0.1*$G215,""),IF(2026-R$4&lt;$C215,"",R$4*$G215))</f>
        <v/>
      </c>
      <c r="S215" s="19" t="str">
        <f>IF(2026-S$3&gt;IF($D215="",2026,$D215),IF(S$3=12,0.1*$G215,""),IF(2026-S$4&lt;$C215,"",S$4*$G215))</f>
        <v/>
      </c>
      <c r="T215" s="19" t="str">
        <f>IF(2026-T$3&gt;IF($D215="",2026,$D215),IF(T$3=12,0.1*$G215,""),IF(2026-T$4&lt;$C215,"",T$4*$G215))</f>
        <v/>
      </c>
    </row>
    <row r="216" spans="1:20" s="18" customFormat="1" ht="12" customHeight="1" x14ac:dyDescent="0.2">
      <c r="A216" s="17"/>
      <c r="B216" s="16" t="s">
        <v>230</v>
      </c>
      <c r="C216" s="13">
        <v>2013</v>
      </c>
      <c r="D216" s="13">
        <v>2016</v>
      </c>
      <c r="E216" s="13">
        <v>3436</v>
      </c>
      <c r="F216" s="13">
        <v>325</v>
      </c>
      <c r="G216" s="21">
        <v>60800</v>
      </c>
      <c r="H216" s="20"/>
      <c r="I216" s="19">
        <f>IF(2026-I$3&gt;IF($D216="",2026,$D216),IF(I$3=12,0.1*$G216,""),IF(2026-I$4&lt;$C216,"",I$4*$G216))</f>
        <v>6080</v>
      </c>
      <c r="J216" s="19">
        <f>IF(2026-J$3&gt;IF($D216="",2026,$D216),IF(J$3=12,0.1*$G216,""),IF(2026-J$4&lt;$C216,"",J$4*$G216))</f>
        <v>7904</v>
      </c>
      <c r="K216" s="19">
        <f>IF(2026-K$3&gt;IF($D216="",2026,$D216),IF(K$3=12,0.1*$G216,""),IF(2026-K$4&lt;$C216,"",K$4*$G216))</f>
        <v>10336</v>
      </c>
      <c r="L216" s="19" t="str">
        <f>IF(2026-L$3&gt;IF($D216="",2026,$D216),IF(L$3=12,0.1*$G216,""),IF(2026-L$4&lt;$C216,"",L$4*$G216))</f>
        <v/>
      </c>
      <c r="M216" s="19" t="str">
        <f>IF(2026-M$3&gt;IF($D216="",2026,$D216),IF(M$3=12,0.1*$G216,""),IF(2026-M$4&lt;$C216,"",M$4*$G216))</f>
        <v/>
      </c>
      <c r="N216" s="19" t="str">
        <f>IF(2026-N$3&gt;IF($D216="",2026,$D216),IF(N$3=12,0.1*$G216,""),IF(2026-N$4&lt;$C216,"",N$4*$G216))</f>
        <v/>
      </c>
      <c r="O216" s="19" t="str">
        <f>IF(2026-O$3&gt;IF($D216="",2026,$D216),IF(O$3=12,0.1*$G216,""),IF(2026-O$4&lt;$C216,"",O$4*$G216))</f>
        <v/>
      </c>
      <c r="P216" s="19" t="str">
        <f>IF(2026-P$3&gt;IF($D216="",2026,$D216),IF(P$3=12,0.1*$G216,""),IF(2026-P$4&lt;$C216,"",P$4*$G216))</f>
        <v/>
      </c>
      <c r="Q216" s="19" t="str">
        <f>IF(2026-Q$3&gt;IF($D216="",2026,$D216),IF(Q$3=12,0.1*$G216,""),IF(2026-Q$4&lt;$C216,"",Q$4*$G216))</f>
        <v/>
      </c>
      <c r="R216" s="19" t="str">
        <f>IF(2026-R$3&gt;IF($D216="",2026,$D216),IF(R$3=12,0.1*$G216,""),IF(2026-R$4&lt;$C216,"",R$4*$G216))</f>
        <v/>
      </c>
      <c r="S216" s="19" t="str">
        <f>IF(2026-S$3&gt;IF($D216="",2026,$D216),IF(S$3=12,0.1*$G216,""),IF(2026-S$4&lt;$C216,"",S$4*$G216))</f>
        <v/>
      </c>
      <c r="T216" s="19" t="str">
        <f>IF(2026-T$3&gt;IF($D216="",2026,$D216),IF(T$3=12,0.1*$G216,""),IF(2026-T$4&lt;$C216,"",T$4*$G216))</f>
        <v/>
      </c>
    </row>
    <row r="217" spans="1:20" s="18" customFormat="1" ht="12" customHeight="1" x14ac:dyDescent="0.2">
      <c r="A217" s="17"/>
      <c r="B217" s="16" t="s">
        <v>229</v>
      </c>
      <c r="C217" s="13">
        <v>2013</v>
      </c>
      <c r="D217" s="13">
        <v>2016</v>
      </c>
      <c r="E217" s="13">
        <v>3436</v>
      </c>
      <c r="F217" s="13">
        <v>325</v>
      </c>
      <c r="G217" s="21">
        <v>61100</v>
      </c>
      <c r="H217" s="20"/>
      <c r="I217" s="19">
        <f>IF(2026-I$3&gt;IF($D217="",2026,$D217),IF(I$3=12,0.1*$G217,""),IF(2026-I$4&lt;$C217,"",I$4*$G217))</f>
        <v>6110</v>
      </c>
      <c r="J217" s="19">
        <f>IF(2026-J$3&gt;IF($D217="",2026,$D217),IF(J$3=12,0.1*$G217,""),IF(2026-J$4&lt;$C217,"",J$4*$G217))</f>
        <v>7943</v>
      </c>
      <c r="K217" s="19">
        <f>IF(2026-K$3&gt;IF($D217="",2026,$D217),IF(K$3=12,0.1*$G217,""),IF(2026-K$4&lt;$C217,"",K$4*$G217))</f>
        <v>10387</v>
      </c>
      <c r="L217" s="19" t="str">
        <f>IF(2026-L$3&gt;IF($D217="",2026,$D217),IF(L$3=12,0.1*$G217,""),IF(2026-L$4&lt;$C217,"",L$4*$G217))</f>
        <v/>
      </c>
      <c r="M217" s="19" t="str">
        <f>IF(2026-M$3&gt;IF($D217="",2026,$D217),IF(M$3=12,0.1*$G217,""),IF(2026-M$4&lt;$C217,"",M$4*$G217))</f>
        <v/>
      </c>
      <c r="N217" s="19" t="str">
        <f>IF(2026-N$3&gt;IF($D217="",2026,$D217),IF(N$3=12,0.1*$G217,""),IF(2026-N$4&lt;$C217,"",N$4*$G217))</f>
        <v/>
      </c>
      <c r="O217" s="19" t="str">
        <f>IF(2026-O$3&gt;IF($D217="",2026,$D217),IF(O$3=12,0.1*$G217,""),IF(2026-O$4&lt;$C217,"",O$4*$G217))</f>
        <v/>
      </c>
      <c r="P217" s="19" t="str">
        <f>IF(2026-P$3&gt;IF($D217="",2026,$D217),IF(P$3=12,0.1*$G217,""),IF(2026-P$4&lt;$C217,"",P$4*$G217))</f>
        <v/>
      </c>
      <c r="Q217" s="19" t="str">
        <f>IF(2026-Q$3&gt;IF($D217="",2026,$D217),IF(Q$3=12,0.1*$G217,""),IF(2026-Q$4&lt;$C217,"",Q$4*$G217))</f>
        <v/>
      </c>
      <c r="R217" s="19" t="str">
        <f>IF(2026-R$3&gt;IF($D217="",2026,$D217),IF(R$3=12,0.1*$G217,""),IF(2026-R$4&lt;$C217,"",R$4*$G217))</f>
        <v/>
      </c>
      <c r="S217" s="19" t="str">
        <f>IF(2026-S$3&gt;IF($D217="",2026,$D217),IF(S$3=12,0.1*$G217,""),IF(2026-S$4&lt;$C217,"",S$4*$G217))</f>
        <v/>
      </c>
      <c r="T217" s="19" t="str">
        <f>IF(2026-T$3&gt;IF($D217="",2026,$D217),IF(T$3=12,0.1*$G217,""),IF(2026-T$4&lt;$C217,"",T$4*$G217))</f>
        <v/>
      </c>
    </row>
    <row r="218" spans="1:20" s="18" customFormat="1" ht="12" customHeight="1" x14ac:dyDescent="0.2">
      <c r="A218" s="17"/>
      <c r="B218" s="16" t="s">
        <v>228</v>
      </c>
      <c r="C218" s="13">
        <v>2013</v>
      </c>
      <c r="D218" s="13">
        <v>2016</v>
      </c>
      <c r="E218" s="13">
        <v>3436</v>
      </c>
      <c r="F218" s="13">
        <v>340</v>
      </c>
      <c r="G218" s="21">
        <v>69900</v>
      </c>
      <c r="H218" s="20"/>
      <c r="I218" s="19">
        <f>IF(2026-I$3&gt;IF($D218="",2026,$D218),IF(I$3=12,0.1*$G218,""),IF(2026-I$4&lt;$C218,"",I$4*$G218))</f>
        <v>6990</v>
      </c>
      <c r="J218" s="19">
        <f>IF(2026-J$3&gt;IF($D218="",2026,$D218),IF(J$3=12,0.1*$G218,""),IF(2026-J$4&lt;$C218,"",J$4*$G218))</f>
        <v>9087</v>
      </c>
      <c r="K218" s="19">
        <f>IF(2026-K$3&gt;IF($D218="",2026,$D218),IF(K$3=12,0.1*$G218,""),IF(2026-K$4&lt;$C218,"",K$4*$G218))</f>
        <v>11883</v>
      </c>
      <c r="L218" s="19" t="str">
        <f>IF(2026-L$3&gt;IF($D218="",2026,$D218),IF(L$3=12,0.1*$G218,""),IF(2026-L$4&lt;$C218,"",L$4*$G218))</f>
        <v/>
      </c>
      <c r="M218" s="19" t="str">
        <f>IF(2026-M$3&gt;IF($D218="",2026,$D218),IF(M$3=12,0.1*$G218,""),IF(2026-M$4&lt;$C218,"",M$4*$G218))</f>
        <v/>
      </c>
      <c r="N218" s="19" t="str">
        <f>IF(2026-N$3&gt;IF($D218="",2026,$D218),IF(N$3=12,0.1*$G218,""),IF(2026-N$4&lt;$C218,"",N$4*$G218))</f>
        <v/>
      </c>
      <c r="O218" s="19" t="str">
        <f>IF(2026-O$3&gt;IF($D218="",2026,$D218),IF(O$3=12,0.1*$G218,""),IF(2026-O$4&lt;$C218,"",O$4*$G218))</f>
        <v/>
      </c>
      <c r="P218" s="19" t="str">
        <f>IF(2026-P$3&gt;IF($D218="",2026,$D218),IF(P$3=12,0.1*$G218,""),IF(2026-P$4&lt;$C218,"",P$4*$G218))</f>
        <v/>
      </c>
      <c r="Q218" s="19" t="str">
        <f>IF(2026-Q$3&gt;IF($D218="",2026,$D218),IF(Q$3=12,0.1*$G218,""),IF(2026-Q$4&lt;$C218,"",Q$4*$G218))</f>
        <v/>
      </c>
      <c r="R218" s="19" t="str">
        <f>IF(2026-R$3&gt;IF($D218="",2026,$D218),IF(R$3=12,0.1*$G218,""),IF(2026-R$4&lt;$C218,"",R$4*$G218))</f>
        <v/>
      </c>
      <c r="S218" s="19" t="str">
        <f>IF(2026-S$3&gt;IF($D218="",2026,$D218),IF(S$3=12,0.1*$G218,""),IF(2026-S$4&lt;$C218,"",S$4*$G218))</f>
        <v/>
      </c>
      <c r="T218" s="19" t="str">
        <f>IF(2026-T$3&gt;IF($D218="",2026,$D218),IF(T$3=12,0.1*$G218,""),IF(2026-T$4&lt;$C218,"",T$4*$G218))</f>
        <v/>
      </c>
    </row>
    <row r="219" spans="1:20" s="18" customFormat="1" ht="12" customHeight="1" x14ac:dyDescent="0.2">
      <c r="A219" s="17"/>
      <c r="B219" s="16" t="s">
        <v>227</v>
      </c>
      <c r="C219" s="13">
        <v>2013</v>
      </c>
      <c r="D219" s="13">
        <v>2016</v>
      </c>
      <c r="E219" s="13">
        <v>3436</v>
      </c>
      <c r="F219" s="13">
        <v>340</v>
      </c>
      <c r="G219" s="21">
        <v>69800</v>
      </c>
      <c r="H219" s="20"/>
      <c r="I219" s="19">
        <f>IF(2026-I$3&gt;IF($D219="",2026,$D219),IF(I$3=12,0.1*$G219,""),IF(2026-I$4&lt;$C219,"",I$4*$G219))</f>
        <v>6980</v>
      </c>
      <c r="J219" s="19">
        <f>IF(2026-J$3&gt;IF($D219="",2026,$D219),IF(J$3=12,0.1*$G219,""),IF(2026-J$4&lt;$C219,"",J$4*$G219))</f>
        <v>9074</v>
      </c>
      <c r="K219" s="19">
        <f>IF(2026-K$3&gt;IF($D219="",2026,$D219),IF(K$3=12,0.1*$G219,""),IF(2026-K$4&lt;$C219,"",K$4*$G219))</f>
        <v>11866</v>
      </c>
      <c r="L219" s="19" t="str">
        <f>IF(2026-L$3&gt;IF($D219="",2026,$D219),IF(L$3=12,0.1*$G219,""),IF(2026-L$4&lt;$C219,"",L$4*$G219))</f>
        <v/>
      </c>
      <c r="M219" s="19" t="str">
        <f>IF(2026-M$3&gt;IF($D219="",2026,$D219),IF(M$3=12,0.1*$G219,""),IF(2026-M$4&lt;$C219,"",M$4*$G219))</f>
        <v/>
      </c>
      <c r="N219" s="19" t="str">
        <f>IF(2026-N$3&gt;IF($D219="",2026,$D219),IF(N$3=12,0.1*$G219,""),IF(2026-N$4&lt;$C219,"",N$4*$G219))</f>
        <v/>
      </c>
      <c r="O219" s="19" t="str">
        <f>IF(2026-O$3&gt;IF($D219="",2026,$D219),IF(O$3=12,0.1*$G219,""),IF(2026-O$4&lt;$C219,"",O$4*$G219))</f>
        <v/>
      </c>
      <c r="P219" s="19" t="str">
        <f>IF(2026-P$3&gt;IF($D219="",2026,$D219),IF(P$3=12,0.1*$G219,""),IF(2026-P$4&lt;$C219,"",P$4*$G219))</f>
        <v/>
      </c>
      <c r="Q219" s="19" t="str">
        <f>IF(2026-Q$3&gt;IF($D219="",2026,$D219),IF(Q$3=12,0.1*$G219,""),IF(2026-Q$4&lt;$C219,"",Q$4*$G219))</f>
        <v/>
      </c>
      <c r="R219" s="19" t="str">
        <f>IF(2026-R$3&gt;IF($D219="",2026,$D219),IF(R$3=12,0.1*$G219,""),IF(2026-R$4&lt;$C219,"",R$4*$G219))</f>
        <v/>
      </c>
      <c r="S219" s="19" t="str">
        <f>IF(2026-S$3&gt;IF($D219="",2026,$D219),IF(S$3=12,0.1*$G219,""),IF(2026-S$4&lt;$C219,"",S$4*$G219))</f>
        <v/>
      </c>
      <c r="T219" s="19" t="str">
        <f>IF(2026-T$3&gt;IF($D219="",2026,$D219),IF(T$3=12,0.1*$G219,""),IF(2026-T$4&lt;$C219,"",T$4*$G219))</f>
        <v/>
      </c>
    </row>
    <row r="220" spans="1:20" s="18" customFormat="1" ht="12" customHeight="1" x14ac:dyDescent="0.2">
      <c r="A220" s="17"/>
      <c r="B220" s="16" t="s">
        <v>226</v>
      </c>
      <c r="C220" s="13">
        <v>2013</v>
      </c>
      <c r="D220" s="13">
        <v>2016</v>
      </c>
      <c r="E220" s="13">
        <v>3800</v>
      </c>
      <c r="F220" s="13">
        <v>385</v>
      </c>
      <c r="G220" s="21">
        <v>81100</v>
      </c>
      <c r="H220" s="20"/>
      <c r="I220" s="19">
        <f>IF(2026-I$3&gt;IF($D220="",2026,$D220),IF(I$3=12,0.1*$G220,""),IF(2026-I$4&lt;$C220,"",I$4*$G220))</f>
        <v>8110</v>
      </c>
      <c r="J220" s="19">
        <f>IF(2026-J$3&gt;IF($D220="",2026,$D220),IF(J$3=12,0.1*$G220,""),IF(2026-J$4&lt;$C220,"",J$4*$G220))</f>
        <v>10543</v>
      </c>
      <c r="K220" s="19">
        <f>IF(2026-K$3&gt;IF($D220="",2026,$D220),IF(K$3=12,0.1*$G220,""),IF(2026-K$4&lt;$C220,"",K$4*$G220))</f>
        <v>13787.000000000002</v>
      </c>
      <c r="L220" s="19" t="str">
        <f>IF(2026-L$3&gt;IF($D220="",2026,$D220),IF(L$3=12,0.1*$G220,""),IF(2026-L$4&lt;$C220,"",L$4*$G220))</f>
        <v/>
      </c>
      <c r="M220" s="19" t="str">
        <f>IF(2026-M$3&gt;IF($D220="",2026,$D220),IF(M$3=12,0.1*$G220,""),IF(2026-M$4&lt;$C220,"",M$4*$G220))</f>
        <v/>
      </c>
      <c r="N220" s="19" t="str">
        <f>IF(2026-N$3&gt;IF($D220="",2026,$D220),IF(N$3=12,0.1*$G220,""),IF(2026-N$4&lt;$C220,"",N$4*$G220))</f>
        <v/>
      </c>
      <c r="O220" s="19" t="str">
        <f>IF(2026-O$3&gt;IF($D220="",2026,$D220),IF(O$3=12,0.1*$G220,""),IF(2026-O$4&lt;$C220,"",O$4*$G220))</f>
        <v/>
      </c>
      <c r="P220" s="19" t="str">
        <f>IF(2026-P$3&gt;IF($D220="",2026,$D220),IF(P$3=12,0.1*$G220,""),IF(2026-P$4&lt;$C220,"",P$4*$G220))</f>
        <v/>
      </c>
      <c r="Q220" s="19" t="str">
        <f>IF(2026-Q$3&gt;IF($D220="",2026,$D220),IF(Q$3=12,0.1*$G220,""),IF(2026-Q$4&lt;$C220,"",Q$4*$G220))</f>
        <v/>
      </c>
      <c r="R220" s="19" t="str">
        <f>IF(2026-R$3&gt;IF($D220="",2026,$D220),IF(R$3=12,0.1*$G220,""),IF(2026-R$4&lt;$C220,"",R$4*$G220))</f>
        <v/>
      </c>
      <c r="S220" s="19" t="str">
        <f>IF(2026-S$3&gt;IF($D220="",2026,$D220),IF(S$3=12,0.1*$G220,""),IF(2026-S$4&lt;$C220,"",S$4*$G220))</f>
        <v/>
      </c>
      <c r="T220" s="19" t="str">
        <f>IF(2026-T$3&gt;IF($D220="",2026,$D220),IF(T$3=12,0.1*$G220,""),IF(2026-T$4&lt;$C220,"",T$4*$G220))</f>
        <v/>
      </c>
    </row>
    <row r="221" spans="1:20" s="18" customFormat="1" ht="12" customHeight="1" x14ac:dyDescent="0.2">
      <c r="A221" s="17"/>
      <c r="B221" s="16"/>
      <c r="C221" s="13"/>
      <c r="D221" s="13"/>
      <c r="E221" s="13"/>
      <c r="F221" s="13"/>
      <c r="G221" s="21"/>
      <c r="H221" s="20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s="18" customFormat="1" ht="12" customHeight="1" x14ac:dyDescent="0.2">
      <c r="A222" s="17"/>
      <c r="B222" s="16" t="s">
        <v>225</v>
      </c>
      <c r="C222" s="13">
        <v>2016</v>
      </c>
      <c r="D222" s="13"/>
      <c r="E222" s="13">
        <v>1988</v>
      </c>
      <c r="F222" s="13">
        <v>300</v>
      </c>
      <c r="G222" s="21">
        <v>51800</v>
      </c>
      <c r="H222" s="20"/>
      <c r="I222" s="19">
        <f>IF(2026-I$3&gt;IF($D222="",2026,$D222),IF(I$3=12,0.1*$G222,""),IF(2026-I$4&lt;$C222,"",I$4*$G222))</f>
        <v>5180</v>
      </c>
      <c r="J222" s="19">
        <f>IF(2026-J$3&gt;IF($D222="",2026,$D222),IF(J$3=12,0.1*$G222,""),IF(2026-J$4&lt;$C222,"",J$4*$G222))</f>
        <v>6734</v>
      </c>
      <c r="K222" s="19">
        <f>IF(2026-K$3&gt;IF($D222="",2026,$D222),IF(K$3=12,0.1*$G222,""),IF(2026-K$4&lt;$C222,"",K$4*$G222))</f>
        <v>8806</v>
      </c>
      <c r="L222" s="19">
        <f>IF(2026-L$3&gt;IF($D222="",2026,$D222),IF(L$3=12,0.1*$G222,""),IF(2026-L$4&lt;$C222,"",L$4*$G222))</f>
        <v>9842</v>
      </c>
      <c r="M222" s="19">
        <f>IF(2026-M$3&gt;IF($D222="",2026,$D222),IF(M$3=12,0.1*$G222,""),IF(2026-M$4&lt;$C222,"",M$4*$G222))</f>
        <v>12432</v>
      </c>
      <c r="N222" s="19">
        <f>IF(2026-N$3&gt;IF($D222="",2026,$D222),IF(N$3=12,0.1*$G222,""),IF(2026-N$4&lt;$C222,"",N$4*$G222))</f>
        <v>14504.000000000002</v>
      </c>
      <c r="O222" s="19">
        <f>IF(2026-O$3&gt;IF($D222="",2026,$D222),IF(O$3=12,0.1*$G222,""),IF(2026-O$4&lt;$C222,"",O$4*$G222))</f>
        <v>17612</v>
      </c>
      <c r="P222" s="19">
        <f>IF(2026-P$3&gt;IF($D222="",2026,$D222),IF(P$3=12,0.1*$G222,""),IF(2026-P$4&lt;$C222,"",P$4*$G222))</f>
        <v>20202</v>
      </c>
      <c r="Q222" s="19">
        <f>IF(2026-Q$3&gt;IF($D222="",2026,$D222),IF(Q$3=12,0.1*$G222,""),IF(2026-Q$4&lt;$C222,"",Q$4*$G222))</f>
        <v>24346</v>
      </c>
      <c r="R222" s="19">
        <f>IF(2026-R$3&gt;IF($D222="",2026,$D222),IF(R$3=12,0.1*$G222,""),IF(2026-R$4&lt;$C222,"",R$4*$G222))</f>
        <v>29008.000000000004</v>
      </c>
      <c r="S222" s="19">
        <f>IF(2026-S$3&gt;IF($D222="",2026,$D222),IF(S$3=12,0.1*$G222,""),IF(2026-S$4&lt;$C222,"",S$4*$G222))</f>
        <v>34706</v>
      </c>
      <c r="T222" s="19">
        <f>IF(2026-T$3&gt;IF($D222="",2026,$D222),IF(T$3=12,0.1*$G222,""),IF(2026-T$4&lt;$C222,"",T$4*$G222))</f>
        <v>43512</v>
      </c>
    </row>
    <row r="223" spans="1:20" s="18" customFormat="1" ht="12" customHeight="1" x14ac:dyDescent="0.2">
      <c r="A223" s="17"/>
      <c r="B223" s="16" t="s">
        <v>224</v>
      </c>
      <c r="C223" s="13">
        <v>2016</v>
      </c>
      <c r="D223" s="13"/>
      <c r="E223" s="13">
        <v>1988</v>
      </c>
      <c r="F223" s="13">
        <v>300</v>
      </c>
      <c r="G223" s="21">
        <v>52300</v>
      </c>
      <c r="H223" s="20"/>
      <c r="I223" s="19">
        <f>IF(2026-I$3&gt;IF($D223="",2026,$D223),IF(I$3=12,0.1*$G223,""),IF(2026-I$4&lt;$C223,"",I$4*$G223))</f>
        <v>5230</v>
      </c>
      <c r="J223" s="19">
        <f>IF(2026-J$3&gt;IF($D223="",2026,$D223),IF(J$3=12,0.1*$G223,""),IF(2026-J$4&lt;$C223,"",J$4*$G223))</f>
        <v>6799</v>
      </c>
      <c r="K223" s="19">
        <f>IF(2026-K$3&gt;IF($D223="",2026,$D223),IF(K$3=12,0.1*$G223,""),IF(2026-K$4&lt;$C223,"",K$4*$G223))</f>
        <v>8891</v>
      </c>
      <c r="L223" s="19">
        <f>IF(2026-L$3&gt;IF($D223="",2026,$D223),IF(L$3=12,0.1*$G223,""),IF(2026-L$4&lt;$C223,"",L$4*$G223))</f>
        <v>9937</v>
      </c>
      <c r="M223" s="19">
        <f>IF(2026-M$3&gt;IF($D223="",2026,$D223),IF(M$3=12,0.1*$G223,""),IF(2026-M$4&lt;$C223,"",M$4*$G223))</f>
        <v>12552</v>
      </c>
      <c r="N223" s="19">
        <f>IF(2026-N$3&gt;IF($D223="",2026,$D223),IF(N$3=12,0.1*$G223,""),IF(2026-N$4&lt;$C223,"",N$4*$G223))</f>
        <v>14644.000000000002</v>
      </c>
      <c r="O223" s="19">
        <f>IF(2026-O$3&gt;IF($D223="",2026,$D223),IF(O$3=12,0.1*$G223,""),IF(2026-O$4&lt;$C223,"",O$4*$G223))</f>
        <v>17782</v>
      </c>
      <c r="P223" s="19">
        <f>IF(2026-P$3&gt;IF($D223="",2026,$D223),IF(P$3=12,0.1*$G223,""),IF(2026-P$4&lt;$C223,"",P$4*$G223))</f>
        <v>20397</v>
      </c>
      <c r="Q223" s="19">
        <f>IF(2026-Q$3&gt;IF($D223="",2026,$D223),IF(Q$3=12,0.1*$G223,""),IF(2026-Q$4&lt;$C223,"",Q$4*$G223))</f>
        <v>24581</v>
      </c>
      <c r="R223" s="19">
        <f>IF(2026-R$3&gt;IF($D223="",2026,$D223),IF(R$3=12,0.1*$G223,""),IF(2026-R$4&lt;$C223,"",R$4*$G223))</f>
        <v>29288.000000000004</v>
      </c>
      <c r="S223" s="19">
        <f>IF(2026-S$3&gt;IF($D223="",2026,$D223),IF(S$3=12,0.1*$G223,""),IF(2026-S$4&lt;$C223,"",S$4*$G223))</f>
        <v>35041</v>
      </c>
      <c r="T223" s="19">
        <f>IF(2026-T$3&gt;IF($D223="",2026,$D223),IF(T$3=12,0.1*$G223,""),IF(2026-T$4&lt;$C223,"",T$4*$G223))</f>
        <v>43932</v>
      </c>
    </row>
    <row r="224" spans="1:20" s="18" customFormat="1" ht="12" customHeight="1" x14ac:dyDescent="0.2">
      <c r="A224" s="17"/>
      <c r="B224" s="16" t="s">
        <v>223</v>
      </c>
      <c r="C224" s="13">
        <v>2016</v>
      </c>
      <c r="D224" s="13"/>
      <c r="E224" s="13">
        <v>1988</v>
      </c>
      <c r="F224" s="13">
        <v>300</v>
      </c>
      <c r="G224" s="21">
        <v>49800</v>
      </c>
      <c r="H224" s="20"/>
      <c r="I224" s="19">
        <f>IF(2026-I$3&gt;IF($D224="",2026,$D224),IF(I$3=12,0.1*$G224,""),IF(2026-I$4&lt;$C224,"",I$4*$G224))</f>
        <v>4980</v>
      </c>
      <c r="J224" s="19">
        <f>IF(2026-J$3&gt;IF($D224="",2026,$D224),IF(J$3=12,0.1*$G224,""),IF(2026-J$4&lt;$C224,"",J$4*$G224))</f>
        <v>6474</v>
      </c>
      <c r="K224" s="19">
        <f>IF(2026-K$3&gt;IF($D224="",2026,$D224),IF(K$3=12,0.1*$G224,""),IF(2026-K$4&lt;$C224,"",K$4*$G224))</f>
        <v>8466</v>
      </c>
      <c r="L224" s="19">
        <f>IF(2026-L$3&gt;IF($D224="",2026,$D224),IF(L$3=12,0.1*$G224,""),IF(2026-L$4&lt;$C224,"",L$4*$G224))</f>
        <v>9462</v>
      </c>
      <c r="M224" s="19">
        <f>IF(2026-M$3&gt;IF($D224="",2026,$D224),IF(M$3=12,0.1*$G224,""),IF(2026-M$4&lt;$C224,"",M$4*$G224))</f>
        <v>11952</v>
      </c>
      <c r="N224" s="19">
        <f>IF(2026-N$3&gt;IF($D224="",2026,$D224),IF(N$3=12,0.1*$G224,""),IF(2026-N$4&lt;$C224,"",N$4*$G224))</f>
        <v>13944.000000000002</v>
      </c>
      <c r="O224" s="19">
        <f>IF(2026-O$3&gt;IF($D224="",2026,$D224),IF(O$3=12,0.1*$G224,""),IF(2026-O$4&lt;$C224,"",O$4*$G224))</f>
        <v>16932</v>
      </c>
      <c r="P224" s="19">
        <f>IF(2026-P$3&gt;IF($D224="",2026,$D224),IF(P$3=12,0.1*$G224,""),IF(2026-P$4&lt;$C224,"",P$4*$G224))</f>
        <v>19422</v>
      </c>
      <c r="Q224" s="19">
        <f>IF(2026-Q$3&gt;IF($D224="",2026,$D224),IF(Q$3=12,0.1*$G224,""),IF(2026-Q$4&lt;$C224,"",Q$4*$G224))</f>
        <v>23406</v>
      </c>
      <c r="R224" s="19">
        <f>IF(2026-R$3&gt;IF($D224="",2026,$D224),IF(R$3=12,0.1*$G224,""),IF(2026-R$4&lt;$C224,"",R$4*$G224))</f>
        <v>27888.000000000004</v>
      </c>
      <c r="S224" s="19">
        <f>IF(2026-S$3&gt;IF($D224="",2026,$D224),IF(S$3=12,0.1*$G224,""),IF(2026-S$4&lt;$C224,"",S$4*$G224))</f>
        <v>33366</v>
      </c>
      <c r="T224" s="19">
        <f>IF(2026-T$3&gt;IF($D224="",2026,$D224),IF(T$3=12,0.1*$G224,""),IF(2026-T$4&lt;$C224,"",T$4*$G224))</f>
        <v>41832</v>
      </c>
    </row>
    <row r="225" spans="1:20" s="18" customFormat="1" ht="12" customHeight="1" x14ac:dyDescent="0.2">
      <c r="A225" s="17"/>
      <c r="B225" s="16" t="s">
        <v>222</v>
      </c>
      <c r="C225" s="13">
        <v>2016</v>
      </c>
      <c r="D225" s="13"/>
      <c r="E225" s="13">
        <v>1988</v>
      </c>
      <c r="F225" s="13">
        <v>300</v>
      </c>
      <c r="G225" s="21">
        <v>50500</v>
      </c>
      <c r="H225" s="20"/>
      <c r="I225" s="19">
        <f>IF(2026-I$3&gt;IF($D225="",2026,$D225),IF(I$3=12,0.1*$G225,""),IF(2026-I$4&lt;$C225,"",I$4*$G225))</f>
        <v>5050</v>
      </c>
      <c r="J225" s="19">
        <f>IF(2026-J$3&gt;IF($D225="",2026,$D225),IF(J$3=12,0.1*$G225,""),IF(2026-J$4&lt;$C225,"",J$4*$G225))</f>
        <v>6565</v>
      </c>
      <c r="K225" s="19">
        <f>IF(2026-K$3&gt;IF($D225="",2026,$D225),IF(K$3=12,0.1*$G225,""),IF(2026-K$4&lt;$C225,"",K$4*$G225))</f>
        <v>8585</v>
      </c>
      <c r="L225" s="19">
        <f>IF(2026-L$3&gt;IF($D225="",2026,$D225),IF(L$3=12,0.1*$G225,""),IF(2026-L$4&lt;$C225,"",L$4*$G225))</f>
        <v>9595</v>
      </c>
      <c r="M225" s="19">
        <f>IF(2026-M$3&gt;IF($D225="",2026,$D225),IF(M$3=12,0.1*$G225,""),IF(2026-M$4&lt;$C225,"",M$4*$G225))</f>
        <v>12120</v>
      </c>
      <c r="N225" s="19">
        <f>IF(2026-N$3&gt;IF($D225="",2026,$D225),IF(N$3=12,0.1*$G225,""),IF(2026-N$4&lt;$C225,"",N$4*$G225))</f>
        <v>14140.000000000002</v>
      </c>
      <c r="O225" s="19">
        <f>IF(2026-O$3&gt;IF($D225="",2026,$D225),IF(O$3=12,0.1*$G225,""),IF(2026-O$4&lt;$C225,"",O$4*$G225))</f>
        <v>17170</v>
      </c>
      <c r="P225" s="19">
        <f>IF(2026-P$3&gt;IF($D225="",2026,$D225),IF(P$3=12,0.1*$G225,""),IF(2026-P$4&lt;$C225,"",P$4*$G225))</f>
        <v>19695</v>
      </c>
      <c r="Q225" s="19">
        <f>IF(2026-Q$3&gt;IF($D225="",2026,$D225),IF(Q$3=12,0.1*$G225,""),IF(2026-Q$4&lt;$C225,"",Q$4*$G225))</f>
        <v>23735</v>
      </c>
      <c r="R225" s="19">
        <f>IF(2026-R$3&gt;IF($D225="",2026,$D225),IF(R$3=12,0.1*$G225,""),IF(2026-R$4&lt;$C225,"",R$4*$G225))</f>
        <v>28280.000000000004</v>
      </c>
      <c r="S225" s="19">
        <f>IF(2026-S$3&gt;IF($D225="",2026,$D225),IF(S$3=12,0.1*$G225,""),IF(2026-S$4&lt;$C225,"",S$4*$G225))</f>
        <v>33835</v>
      </c>
      <c r="T225" s="19">
        <f>IF(2026-T$3&gt;IF($D225="",2026,$D225),IF(T$3=12,0.1*$G225,""),IF(2026-T$4&lt;$C225,"",T$4*$G225))</f>
        <v>42420</v>
      </c>
    </row>
    <row r="226" spans="1:20" s="18" customFormat="1" ht="12" customHeight="1" x14ac:dyDescent="0.2">
      <c r="A226" s="17"/>
      <c r="B226" s="16" t="s">
        <v>221</v>
      </c>
      <c r="C226" s="13">
        <v>2016</v>
      </c>
      <c r="D226" s="13"/>
      <c r="E226" s="13">
        <v>2497</v>
      </c>
      <c r="F226" s="13">
        <v>350</v>
      </c>
      <c r="G226" s="21">
        <v>63700</v>
      </c>
      <c r="H226" s="20"/>
      <c r="I226" s="19">
        <f>IF(2026-I$3&gt;IF($D226="",2026,$D226),IF(I$3=12,0.1*$G226,""),IF(2026-I$4&lt;$C226,"",I$4*$G226))</f>
        <v>6370</v>
      </c>
      <c r="J226" s="19">
        <f>IF(2026-J$3&gt;IF($D226="",2026,$D226),IF(J$3=12,0.1*$G226,""),IF(2026-J$4&lt;$C226,"",J$4*$G226))</f>
        <v>8281</v>
      </c>
      <c r="K226" s="19">
        <f>IF(2026-K$3&gt;IF($D226="",2026,$D226),IF(K$3=12,0.1*$G226,""),IF(2026-K$4&lt;$C226,"",K$4*$G226))</f>
        <v>10829</v>
      </c>
      <c r="L226" s="19">
        <f>IF(2026-L$3&gt;IF($D226="",2026,$D226),IF(L$3=12,0.1*$G226,""),IF(2026-L$4&lt;$C226,"",L$4*$G226))</f>
        <v>12103</v>
      </c>
      <c r="M226" s="19">
        <f>IF(2026-M$3&gt;IF($D226="",2026,$D226),IF(M$3=12,0.1*$G226,""),IF(2026-M$4&lt;$C226,"",M$4*$G226))</f>
        <v>15288</v>
      </c>
      <c r="N226" s="19">
        <f>IF(2026-N$3&gt;IF($D226="",2026,$D226),IF(N$3=12,0.1*$G226,""),IF(2026-N$4&lt;$C226,"",N$4*$G226))</f>
        <v>17836</v>
      </c>
      <c r="O226" s="19">
        <f>IF(2026-O$3&gt;IF($D226="",2026,$D226),IF(O$3=12,0.1*$G226,""),IF(2026-O$4&lt;$C226,"",O$4*$G226))</f>
        <v>21658</v>
      </c>
      <c r="P226" s="19">
        <f>IF(2026-P$3&gt;IF($D226="",2026,$D226),IF(P$3=12,0.1*$G226,""),IF(2026-P$4&lt;$C226,"",P$4*$G226))</f>
        <v>24843</v>
      </c>
      <c r="Q226" s="19">
        <f>IF(2026-Q$3&gt;IF($D226="",2026,$D226),IF(Q$3=12,0.1*$G226,""),IF(2026-Q$4&lt;$C226,"",Q$4*$G226))</f>
        <v>29939</v>
      </c>
      <c r="R226" s="19">
        <f>IF(2026-R$3&gt;IF($D226="",2026,$D226),IF(R$3=12,0.1*$G226,""),IF(2026-R$4&lt;$C226,"",R$4*$G226))</f>
        <v>35672</v>
      </c>
      <c r="S226" s="19">
        <f>IF(2026-S$3&gt;IF($D226="",2026,$D226),IF(S$3=12,0.1*$G226,""),IF(2026-S$4&lt;$C226,"",S$4*$G226))</f>
        <v>42679</v>
      </c>
      <c r="T226" s="19">
        <f>IF(2026-T$3&gt;IF($D226="",2026,$D226),IF(T$3=12,0.1*$G226,""),IF(2026-T$4&lt;$C226,"",T$4*$G226))</f>
        <v>53508</v>
      </c>
    </row>
    <row r="227" spans="1:20" s="18" customFormat="1" ht="12" customHeight="1" x14ac:dyDescent="0.2">
      <c r="A227" s="17"/>
      <c r="B227" s="16" t="s">
        <v>220</v>
      </c>
      <c r="C227" s="13">
        <v>2016</v>
      </c>
      <c r="D227" s="13"/>
      <c r="E227" s="13">
        <v>2497</v>
      </c>
      <c r="F227" s="13">
        <v>350</v>
      </c>
      <c r="G227" s="21">
        <v>66400</v>
      </c>
      <c r="H227" s="20"/>
      <c r="I227" s="19">
        <f>IF(2026-I$3&gt;IF($D227="",2026,$D227),IF(I$3=12,0.1*$G227,""),IF(2026-I$4&lt;$C227,"",I$4*$G227))</f>
        <v>6640</v>
      </c>
      <c r="J227" s="19">
        <f>IF(2026-J$3&gt;IF($D227="",2026,$D227),IF(J$3=12,0.1*$G227,""),IF(2026-J$4&lt;$C227,"",J$4*$G227))</f>
        <v>8632</v>
      </c>
      <c r="K227" s="19">
        <f>IF(2026-K$3&gt;IF($D227="",2026,$D227),IF(K$3=12,0.1*$G227,""),IF(2026-K$4&lt;$C227,"",K$4*$G227))</f>
        <v>11288</v>
      </c>
      <c r="L227" s="19">
        <f>IF(2026-L$3&gt;IF($D227="",2026,$D227),IF(L$3=12,0.1*$G227,""),IF(2026-L$4&lt;$C227,"",L$4*$G227))</f>
        <v>12616</v>
      </c>
      <c r="M227" s="19">
        <f>IF(2026-M$3&gt;IF($D227="",2026,$D227),IF(M$3=12,0.1*$G227,""),IF(2026-M$4&lt;$C227,"",M$4*$G227))</f>
        <v>15936</v>
      </c>
      <c r="N227" s="19">
        <f>IF(2026-N$3&gt;IF($D227="",2026,$D227),IF(N$3=12,0.1*$G227,""),IF(2026-N$4&lt;$C227,"",N$4*$G227))</f>
        <v>18592</v>
      </c>
      <c r="O227" s="19">
        <f>IF(2026-O$3&gt;IF($D227="",2026,$D227),IF(O$3=12,0.1*$G227,""),IF(2026-O$4&lt;$C227,"",O$4*$G227))</f>
        <v>22576</v>
      </c>
      <c r="P227" s="19">
        <f>IF(2026-P$3&gt;IF($D227="",2026,$D227),IF(P$3=12,0.1*$G227,""),IF(2026-P$4&lt;$C227,"",P$4*$G227))</f>
        <v>25896</v>
      </c>
      <c r="Q227" s="19">
        <f>IF(2026-Q$3&gt;IF($D227="",2026,$D227),IF(Q$3=12,0.1*$G227,""),IF(2026-Q$4&lt;$C227,"",Q$4*$G227))</f>
        <v>31208</v>
      </c>
      <c r="R227" s="19">
        <f>IF(2026-R$3&gt;IF($D227="",2026,$D227),IF(R$3=12,0.1*$G227,""),IF(2026-R$4&lt;$C227,"",R$4*$G227))</f>
        <v>37184</v>
      </c>
      <c r="S227" s="19">
        <f>IF(2026-S$3&gt;IF($D227="",2026,$D227),IF(S$3=12,0.1*$G227,""),IF(2026-S$4&lt;$C227,"",S$4*$G227))</f>
        <v>44488</v>
      </c>
      <c r="T227" s="19">
        <f>IF(2026-T$3&gt;IF($D227="",2026,$D227),IF(T$3=12,0.1*$G227,""),IF(2026-T$4&lt;$C227,"",T$4*$G227))</f>
        <v>55776</v>
      </c>
    </row>
    <row r="228" spans="1:20" s="18" customFormat="1" ht="12" customHeight="1" x14ac:dyDescent="0.2">
      <c r="A228" s="17"/>
      <c r="B228" s="16" t="s">
        <v>219</v>
      </c>
      <c r="C228" s="13">
        <v>2016</v>
      </c>
      <c r="D228" s="13"/>
      <c r="E228" s="13">
        <v>2497</v>
      </c>
      <c r="F228" s="13">
        <v>350</v>
      </c>
      <c r="G228" s="21">
        <v>61700</v>
      </c>
      <c r="H228" s="20"/>
      <c r="I228" s="19">
        <f>IF(2026-I$3&gt;IF($D228="",2026,$D228),IF(I$3=12,0.1*$G228,""),IF(2026-I$4&lt;$C228,"",I$4*$G228))</f>
        <v>6170</v>
      </c>
      <c r="J228" s="19">
        <f>IF(2026-J$3&gt;IF($D228="",2026,$D228),IF(J$3=12,0.1*$G228,""),IF(2026-J$4&lt;$C228,"",J$4*$G228))</f>
        <v>8021</v>
      </c>
      <c r="K228" s="19">
        <f>IF(2026-K$3&gt;IF($D228="",2026,$D228),IF(K$3=12,0.1*$G228,""),IF(2026-K$4&lt;$C228,"",K$4*$G228))</f>
        <v>10489</v>
      </c>
      <c r="L228" s="19">
        <f>IF(2026-L$3&gt;IF($D228="",2026,$D228),IF(L$3=12,0.1*$G228,""),IF(2026-L$4&lt;$C228,"",L$4*$G228))</f>
        <v>11723</v>
      </c>
      <c r="M228" s="19">
        <f>IF(2026-M$3&gt;IF($D228="",2026,$D228),IF(M$3=12,0.1*$G228,""),IF(2026-M$4&lt;$C228,"",M$4*$G228))</f>
        <v>14808</v>
      </c>
      <c r="N228" s="19">
        <f>IF(2026-N$3&gt;IF($D228="",2026,$D228),IF(N$3=12,0.1*$G228,""),IF(2026-N$4&lt;$C228,"",N$4*$G228))</f>
        <v>17276</v>
      </c>
      <c r="O228" s="19">
        <f>IF(2026-O$3&gt;IF($D228="",2026,$D228),IF(O$3=12,0.1*$G228,""),IF(2026-O$4&lt;$C228,"",O$4*$G228))</f>
        <v>20978</v>
      </c>
      <c r="P228" s="19">
        <f>IF(2026-P$3&gt;IF($D228="",2026,$D228),IF(P$3=12,0.1*$G228,""),IF(2026-P$4&lt;$C228,"",P$4*$G228))</f>
        <v>24063</v>
      </c>
      <c r="Q228" s="19">
        <f>IF(2026-Q$3&gt;IF($D228="",2026,$D228),IF(Q$3=12,0.1*$G228,""),IF(2026-Q$4&lt;$C228,"",Q$4*$G228))</f>
        <v>28999</v>
      </c>
      <c r="R228" s="19">
        <f>IF(2026-R$3&gt;IF($D228="",2026,$D228),IF(R$3=12,0.1*$G228,""),IF(2026-R$4&lt;$C228,"",R$4*$G228))</f>
        <v>34552</v>
      </c>
      <c r="S228" s="19">
        <f>IF(2026-S$3&gt;IF($D228="",2026,$D228),IF(S$3=12,0.1*$G228,""),IF(2026-S$4&lt;$C228,"",S$4*$G228))</f>
        <v>41339</v>
      </c>
      <c r="T228" s="19">
        <f>IF(2026-T$3&gt;IF($D228="",2026,$D228),IF(T$3=12,0.1*$G228,""),IF(2026-T$4&lt;$C228,"",T$4*$G228))</f>
        <v>51828</v>
      </c>
    </row>
    <row r="229" spans="1:20" s="18" customFormat="1" ht="12" customHeight="1" x14ac:dyDescent="0.2">
      <c r="A229" s="17"/>
      <c r="B229" s="16" t="s">
        <v>218</v>
      </c>
      <c r="C229" s="13">
        <v>2016</v>
      </c>
      <c r="D229" s="13"/>
      <c r="E229" s="13">
        <v>2497</v>
      </c>
      <c r="F229" s="13">
        <v>350</v>
      </c>
      <c r="G229" s="21">
        <v>64400</v>
      </c>
      <c r="H229" s="20"/>
      <c r="I229" s="19">
        <f>IF(2026-I$3&gt;IF($D229="",2026,$D229),IF(I$3=12,0.1*$G229,""),IF(2026-I$4&lt;$C229,"",I$4*$G229))</f>
        <v>6440</v>
      </c>
      <c r="J229" s="19">
        <f>IF(2026-J$3&gt;IF($D229="",2026,$D229),IF(J$3=12,0.1*$G229,""),IF(2026-J$4&lt;$C229,"",J$4*$G229))</f>
        <v>8372</v>
      </c>
      <c r="K229" s="19">
        <f>IF(2026-K$3&gt;IF($D229="",2026,$D229),IF(K$3=12,0.1*$G229,""),IF(2026-K$4&lt;$C229,"",K$4*$G229))</f>
        <v>10948</v>
      </c>
      <c r="L229" s="19">
        <f>IF(2026-L$3&gt;IF($D229="",2026,$D229),IF(L$3=12,0.1*$G229,""),IF(2026-L$4&lt;$C229,"",L$4*$G229))</f>
        <v>12236</v>
      </c>
      <c r="M229" s="19">
        <f>IF(2026-M$3&gt;IF($D229="",2026,$D229),IF(M$3=12,0.1*$G229,""),IF(2026-M$4&lt;$C229,"",M$4*$G229))</f>
        <v>15456</v>
      </c>
      <c r="N229" s="19">
        <f>IF(2026-N$3&gt;IF($D229="",2026,$D229),IF(N$3=12,0.1*$G229,""),IF(2026-N$4&lt;$C229,"",N$4*$G229))</f>
        <v>18032</v>
      </c>
      <c r="O229" s="19">
        <f>IF(2026-O$3&gt;IF($D229="",2026,$D229),IF(O$3=12,0.1*$G229,""),IF(2026-O$4&lt;$C229,"",O$4*$G229))</f>
        <v>21896</v>
      </c>
      <c r="P229" s="19">
        <f>IF(2026-P$3&gt;IF($D229="",2026,$D229),IF(P$3=12,0.1*$G229,""),IF(2026-P$4&lt;$C229,"",P$4*$G229))</f>
        <v>25116</v>
      </c>
      <c r="Q229" s="19">
        <f>IF(2026-Q$3&gt;IF($D229="",2026,$D229),IF(Q$3=12,0.1*$G229,""),IF(2026-Q$4&lt;$C229,"",Q$4*$G229))</f>
        <v>30268</v>
      </c>
      <c r="R229" s="19">
        <f>IF(2026-R$3&gt;IF($D229="",2026,$D229),IF(R$3=12,0.1*$G229,""),IF(2026-R$4&lt;$C229,"",R$4*$G229))</f>
        <v>36064</v>
      </c>
      <c r="S229" s="19">
        <f>IF(2026-S$3&gt;IF($D229="",2026,$D229),IF(S$3=12,0.1*$G229,""),IF(2026-S$4&lt;$C229,"",S$4*$G229))</f>
        <v>43148</v>
      </c>
      <c r="T229" s="19">
        <f>IF(2026-T$3&gt;IF($D229="",2026,$D229),IF(T$3=12,0.1*$G229,""),IF(2026-T$4&lt;$C229,"",T$4*$G229))</f>
        <v>54096</v>
      </c>
    </row>
    <row r="230" spans="1:20" s="18" customFormat="1" ht="12" customHeight="1" x14ac:dyDescent="0.2">
      <c r="A230" s="17"/>
      <c r="B230" s="16" t="s">
        <v>217</v>
      </c>
      <c r="C230" s="13">
        <v>2016</v>
      </c>
      <c r="D230" s="13"/>
      <c r="E230" s="13">
        <v>2497</v>
      </c>
      <c r="F230" s="13">
        <v>366</v>
      </c>
      <c r="G230" s="21">
        <v>75800</v>
      </c>
      <c r="H230" s="20"/>
      <c r="I230" s="19">
        <f>IF(2026-I$3&gt;IF($D230="",2026,$D230),IF(I$3=12,0.1*$G230,""),IF(2026-I$4&lt;$C230,"",I$4*$G230))</f>
        <v>7580</v>
      </c>
      <c r="J230" s="19">
        <f>IF(2026-J$3&gt;IF($D230="",2026,$D230),IF(J$3=12,0.1*$G230,""),IF(2026-J$4&lt;$C230,"",J$4*$G230))</f>
        <v>9854</v>
      </c>
      <c r="K230" s="19">
        <f>IF(2026-K$3&gt;IF($D230="",2026,$D230),IF(K$3=12,0.1*$G230,""),IF(2026-K$4&lt;$C230,"",K$4*$G230))</f>
        <v>12886.000000000002</v>
      </c>
      <c r="L230" s="19">
        <f>IF(2026-L$3&gt;IF($D230="",2026,$D230),IF(L$3=12,0.1*$G230,""),IF(2026-L$4&lt;$C230,"",L$4*$G230))</f>
        <v>14402</v>
      </c>
      <c r="M230" s="19">
        <f>IF(2026-M$3&gt;IF($D230="",2026,$D230),IF(M$3=12,0.1*$G230,""),IF(2026-M$4&lt;$C230,"",M$4*$G230))</f>
        <v>18192</v>
      </c>
      <c r="N230" s="19">
        <f>IF(2026-N$3&gt;IF($D230="",2026,$D230),IF(N$3=12,0.1*$G230,""),IF(2026-N$4&lt;$C230,"",N$4*$G230))</f>
        <v>21224.000000000004</v>
      </c>
      <c r="O230" s="19">
        <f>IF(2026-O$3&gt;IF($D230="",2026,$D230),IF(O$3=12,0.1*$G230,""),IF(2026-O$4&lt;$C230,"",O$4*$G230))</f>
        <v>25772.000000000004</v>
      </c>
      <c r="P230" s="19">
        <f>IF(2026-P$3&gt;IF($D230="",2026,$D230),IF(P$3=12,0.1*$G230,""),IF(2026-P$4&lt;$C230,"",P$4*$G230))</f>
        <v>29562</v>
      </c>
      <c r="Q230" s="19">
        <f>IF(2026-Q$3&gt;IF($D230="",2026,$D230),IF(Q$3=12,0.1*$G230,""),IF(2026-Q$4&lt;$C230,"",Q$4*$G230))</f>
        <v>35626</v>
      </c>
      <c r="R230" s="19">
        <f>IF(2026-R$3&gt;IF($D230="",2026,$D230),IF(R$3=12,0.1*$G230,""),IF(2026-R$4&lt;$C230,"",R$4*$G230))</f>
        <v>42448.000000000007</v>
      </c>
      <c r="S230" s="19">
        <f>IF(2026-S$3&gt;IF($D230="",2026,$D230),IF(S$3=12,0.1*$G230,""),IF(2026-S$4&lt;$C230,"",S$4*$G230))</f>
        <v>50786</v>
      </c>
      <c r="T230" s="19">
        <f>IF(2026-T$3&gt;IF($D230="",2026,$D230),IF(T$3=12,0.1*$G230,""),IF(2026-T$4&lt;$C230,"",T$4*$G230))</f>
        <v>63672</v>
      </c>
    </row>
    <row r="231" spans="1:20" s="18" customFormat="1" ht="12" customHeight="1" x14ac:dyDescent="0.2">
      <c r="A231" s="17"/>
      <c r="B231" s="16" t="s">
        <v>216</v>
      </c>
      <c r="C231" s="13">
        <v>2016</v>
      </c>
      <c r="D231" s="13"/>
      <c r="E231" s="13">
        <v>2497</v>
      </c>
      <c r="F231" s="13">
        <v>366</v>
      </c>
      <c r="G231" s="21">
        <v>76200</v>
      </c>
      <c r="H231" s="20"/>
      <c r="I231" s="19">
        <f>IF(2026-I$3&gt;IF($D231="",2026,$D231),IF(I$3=12,0.1*$G231,""),IF(2026-I$4&lt;$C231,"",I$4*$G231))</f>
        <v>7620</v>
      </c>
      <c r="J231" s="19">
        <f>IF(2026-J$3&gt;IF($D231="",2026,$D231),IF(J$3=12,0.1*$G231,""),IF(2026-J$4&lt;$C231,"",J$4*$G231))</f>
        <v>9906</v>
      </c>
      <c r="K231" s="19">
        <f>IF(2026-K$3&gt;IF($D231="",2026,$D231),IF(K$3=12,0.1*$G231,""),IF(2026-K$4&lt;$C231,"",K$4*$G231))</f>
        <v>12954.000000000002</v>
      </c>
      <c r="L231" s="19">
        <f>IF(2026-L$3&gt;IF($D231="",2026,$D231),IF(L$3=12,0.1*$G231,""),IF(2026-L$4&lt;$C231,"",L$4*$G231))</f>
        <v>14478</v>
      </c>
      <c r="M231" s="19">
        <f>IF(2026-M$3&gt;IF($D231="",2026,$D231),IF(M$3=12,0.1*$G231,""),IF(2026-M$4&lt;$C231,"",M$4*$G231))</f>
        <v>18288</v>
      </c>
      <c r="N231" s="19">
        <f>IF(2026-N$3&gt;IF($D231="",2026,$D231),IF(N$3=12,0.1*$G231,""),IF(2026-N$4&lt;$C231,"",N$4*$G231))</f>
        <v>21336.000000000004</v>
      </c>
      <c r="O231" s="19">
        <f>IF(2026-O$3&gt;IF($D231="",2026,$D231),IF(O$3=12,0.1*$G231,""),IF(2026-O$4&lt;$C231,"",O$4*$G231))</f>
        <v>25908.000000000004</v>
      </c>
      <c r="P231" s="19">
        <f>IF(2026-P$3&gt;IF($D231="",2026,$D231),IF(P$3=12,0.1*$G231,""),IF(2026-P$4&lt;$C231,"",P$4*$G231))</f>
        <v>29718</v>
      </c>
      <c r="Q231" s="19">
        <f>IF(2026-Q$3&gt;IF($D231="",2026,$D231),IF(Q$3=12,0.1*$G231,""),IF(2026-Q$4&lt;$C231,"",Q$4*$G231))</f>
        <v>35814</v>
      </c>
      <c r="R231" s="19">
        <f>IF(2026-R$3&gt;IF($D231="",2026,$D231),IF(R$3=12,0.1*$G231,""),IF(2026-R$4&lt;$C231,"",R$4*$G231))</f>
        <v>42672.000000000007</v>
      </c>
      <c r="S231" s="19">
        <f>IF(2026-S$3&gt;IF($D231="",2026,$D231),IF(S$3=12,0.1*$G231,""),IF(2026-S$4&lt;$C231,"",S$4*$G231))</f>
        <v>51054</v>
      </c>
      <c r="T231" s="19">
        <f>IF(2026-T$3&gt;IF($D231="",2026,$D231),IF(T$3=12,0.1*$G231,""),IF(2026-T$4&lt;$C231,"",T$4*$G231))</f>
        <v>64008</v>
      </c>
    </row>
    <row r="232" spans="1:20" s="18" customFormat="1" ht="12" customHeight="1" x14ac:dyDescent="0.2">
      <c r="A232" s="17"/>
      <c r="B232" s="16" t="s">
        <v>215</v>
      </c>
      <c r="C232" s="13">
        <v>2020</v>
      </c>
      <c r="D232" s="13"/>
      <c r="E232" s="13">
        <v>1988</v>
      </c>
      <c r="F232" s="13">
        <v>300</v>
      </c>
      <c r="G232" s="21">
        <v>59500</v>
      </c>
      <c r="H232" s="20"/>
      <c r="I232" s="19">
        <f>IF(2026-I$3&gt;IF($D232="",2026,$D232),IF(I$3=12,0.1*$G232,""),IF(2026-I$4&lt;$C232,"",I$4*$G232))</f>
        <v>5950</v>
      </c>
      <c r="J232" s="19">
        <f>IF(2026-J$3&gt;IF($D232="",2026,$D232),IF(J$3=12,0.1*$G232,""),IF(2026-J$4&lt;$C232,"",J$4*$G232))</f>
        <v>7735</v>
      </c>
      <c r="K232" s="19">
        <f>IF(2026-K$3&gt;IF($D232="",2026,$D232),IF(K$3=12,0.1*$G232,""),IF(2026-K$4&lt;$C232,"",K$4*$G232))</f>
        <v>10115</v>
      </c>
      <c r="L232" s="19">
        <f>IF(2026-L$3&gt;IF($D232="",2026,$D232),IF(L$3=12,0.1*$G232,""),IF(2026-L$4&lt;$C232,"",L$4*$G232))</f>
        <v>11305</v>
      </c>
      <c r="M232" s="19">
        <f>IF(2026-M$3&gt;IF($D232="",2026,$D232),IF(M$3=12,0.1*$G232,""),IF(2026-M$4&lt;$C232,"",M$4*$G232))</f>
        <v>14280</v>
      </c>
      <c r="N232" s="19">
        <f>IF(2026-N$3&gt;IF($D232="",2026,$D232),IF(N$3=12,0.1*$G232,""),IF(2026-N$4&lt;$C232,"",N$4*$G232))</f>
        <v>16660</v>
      </c>
      <c r="O232" s="19">
        <f>IF(2026-O$3&gt;IF($D232="",2026,$D232),IF(O$3=12,0.1*$G232,""),IF(2026-O$4&lt;$C232,"",O$4*$G232))</f>
        <v>20230</v>
      </c>
      <c r="P232" s="19">
        <f>IF(2026-P$3&gt;IF($D232="",2026,$D232),IF(P$3=12,0.1*$G232,""),IF(2026-P$4&lt;$C232,"",P$4*$G232))</f>
        <v>23205</v>
      </c>
      <c r="Q232" s="19">
        <f>IF(2026-Q$3&gt;IF($D232="",2026,$D232),IF(Q$3=12,0.1*$G232,""),IF(2026-Q$4&lt;$C232,"",Q$4*$G232))</f>
        <v>27965</v>
      </c>
      <c r="R232" s="19">
        <f>IF(2026-R$3&gt;IF($D232="",2026,$D232),IF(R$3=12,0.1*$G232,""),IF(2026-R$4&lt;$C232,"",R$4*$G232))</f>
        <v>33320</v>
      </c>
      <c r="S232" s="19">
        <f>IF(2026-S$3&gt;IF($D232="",2026,$D232),IF(S$3=12,0.1*$G232,""),IF(2026-S$4&lt;$C232,"",S$4*$G232))</f>
        <v>39865</v>
      </c>
      <c r="T232" s="19">
        <f>IF(2026-T$3&gt;IF($D232="",2026,$D232),IF(T$3=12,0.1*$G232,""),IF(2026-T$4&lt;$C232,"",T$4*$G232))</f>
        <v>49980</v>
      </c>
    </row>
    <row r="233" spans="1:20" s="18" customFormat="1" ht="12" customHeight="1" x14ac:dyDescent="0.2">
      <c r="A233" s="17"/>
      <c r="B233" s="16" t="s">
        <v>214</v>
      </c>
      <c r="C233" s="13">
        <v>2020</v>
      </c>
      <c r="D233" s="13"/>
      <c r="E233" s="13">
        <v>1988</v>
      </c>
      <c r="F233" s="13">
        <v>300</v>
      </c>
      <c r="G233" s="21">
        <v>68400</v>
      </c>
      <c r="H233" s="20"/>
      <c r="I233" s="19">
        <f>IF(2026-I$3&gt;IF($D233="",2026,$D233),IF(I$3=12,0.1*$G233,""),IF(2026-I$4&lt;$C233,"",I$4*$G233))</f>
        <v>6840</v>
      </c>
      <c r="J233" s="19">
        <f>IF(2026-J$3&gt;IF($D233="",2026,$D233),IF(J$3=12,0.1*$G233,""),IF(2026-J$4&lt;$C233,"",J$4*$G233))</f>
        <v>8892</v>
      </c>
      <c r="K233" s="19">
        <f>IF(2026-K$3&gt;IF($D233="",2026,$D233),IF(K$3=12,0.1*$G233,""),IF(2026-K$4&lt;$C233,"",K$4*$G233))</f>
        <v>11628</v>
      </c>
      <c r="L233" s="19">
        <f>IF(2026-L$3&gt;IF($D233="",2026,$D233),IF(L$3=12,0.1*$G233,""),IF(2026-L$4&lt;$C233,"",L$4*$G233))</f>
        <v>12996</v>
      </c>
      <c r="M233" s="19">
        <f>IF(2026-M$3&gt;IF($D233="",2026,$D233),IF(M$3=12,0.1*$G233,""),IF(2026-M$4&lt;$C233,"",M$4*$G233))</f>
        <v>16416</v>
      </c>
      <c r="N233" s="19">
        <f>IF(2026-N$3&gt;IF($D233="",2026,$D233),IF(N$3=12,0.1*$G233,""),IF(2026-N$4&lt;$C233,"",N$4*$G233))</f>
        <v>19152.000000000004</v>
      </c>
      <c r="O233" s="19">
        <f>IF(2026-O$3&gt;IF($D233="",2026,$D233),IF(O$3=12,0.1*$G233,""),IF(2026-O$4&lt;$C233,"",O$4*$G233))</f>
        <v>23256</v>
      </c>
      <c r="P233" s="19">
        <f>IF(2026-P$3&gt;IF($D233="",2026,$D233),IF(P$3=12,0.1*$G233,""),IF(2026-P$4&lt;$C233,"",P$4*$G233))</f>
        <v>26676</v>
      </c>
      <c r="Q233" s="19">
        <f>IF(2026-Q$3&gt;IF($D233="",2026,$D233),IF(Q$3=12,0.1*$G233,""),IF(2026-Q$4&lt;$C233,"",Q$4*$G233))</f>
        <v>32147.999999999996</v>
      </c>
      <c r="R233" s="19">
        <f>IF(2026-R$3&gt;IF($D233="",2026,$D233),IF(R$3=12,0.1*$G233,""),IF(2026-R$4&lt;$C233,"",R$4*$G233))</f>
        <v>38304.000000000007</v>
      </c>
      <c r="S233" s="19">
        <f>IF(2026-S$3&gt;IF($D233="",2026,$D233),IF(S$3=12,0.1*$G233,""),IF(2026-S$4&lt;$C233,"",S$4*$G233))</f>
        <v>45828</v>
      </c>
      <c r="T233" s="19">
        <f>IF(2026-T$3&gt;IF($D233="",2026,$D233),IF(T$3=12,0.1*$G233,""),IF(2026-T$4&lt;$C233,"",T$4*$G233))</f>
        <v>57456</v>
      </c>
    </row>
    <row r="234" spans="1:20" s="18" customFormat="1" ht="12" customHeight="1" x14ac:dyDescent="0.2">
      <c r="A234" s="17"/>
      <c r="B234" s="16" t="s">
        <v>213</v>
      </c>
      <c r="C234" s="13">
        <v>2020</v>
      </c>
      <c r="D234" s="13"/>
      <c r="E234" s="13">
        <v>1988</v>
      </c>
      <c r="F234" s="13">
        <v>300</v>
      </c>
      <c r="G234" s="21">
        <v>57500</v>
      </c>
      <c r="H234" s="20"/>
      <c r="I234" s="19">
        <f>IF(2026-I$3&gt;IF($D234="",2026,$D234),IF(I$3=12,0.1*$G234,""),IF(2026-I$4&lt;$C234,"",I$4*$G234))</f>
        <v>5750</v>
      </c>
      <c r="J234" s="19">
        <f>IF(2026-J$3&gt;IF($D234="",2026,$D234),IF(J$3=12,0.1*$G234,""),IF(2026-J$4&lt;$C234,"",J$4*$G234))</f>
        <v>7475</v>
      </c>
      <c r="K234" s="19">
        <f>IF(2026-K$3&gt;IF($D234="",2026,$D234),IF(K$3=12,0.1*$G234,""),IF(2026-K$4&lt;$C234,"",K$4*$G234))</f>
        <v>9775</v>
      </c>
      <c r="L234" s="19">
        <f>IF(2026-L$3&gt;IF($D234="",2026,$D234),IF(L$3=12,0.1*$G234,""),IF(2026-L$4&lt;$C234,"",L$4*$G234))</f>
        <v>10925</v>
      </c>
      <c r="M234" s="19">
        <f>IF(2026-M$3&gt;IF($D234="",2026,$D234),IF(M$3=12,0.1*$G234,""),IF(2026-M$4&lt;$C234,"",M$4*$G234))</f>
        <v>13800</v>
      </c>
      <c r="N234" s="19">
        <f>IF(2026-N$3&gt;IF($D234="",2026,$D234),IF(N$3=12,0.1*$G234,""),IF(2026-N$4&lt;$C234,"",N$4*$G234))</f>
        <v>16100.000000000002</v>
      </c>
      <c r="O234" s="19">
        <f>IF(2026-O$3&gt;IF($D234="",2026,$D234),IF(O$3=12,0.1*$G234,""),IF(2026-O$4&lt;$C234,"",O$4*$G234))</f>
        <v>19550</v>
      </c>
      <c r="P234" s="19">
        <f>IF(2026-P$3&gt;IF($D234="",2026,$D234),IF(P$3=12,0.1*$G234,""),IF(2026-P$4&lt;$C234,"",P$4*$G234))</f>
        <v>22425</v>
      </c>
      <c r="Q234" s="19">
        <f>IF(2026-Q$3&gt;IF($D234="",2026,$D234),IF(Q$3=12,0.1*$G234,""),IF(2026-Q$4&lt;$C234,"",Q$4*$G234))</f>
        <v>27025</v>
      </c>
      <c r="R234" s="19">
        <f>IF(2026-R$3&gt;IF($D234="",2026,$D234),IF(R$3=12,0.1*$G234,""),IF(2026-R$4&lt;$C234,"",R$4*$G234))</f>
        <v>32200.000000000004</v>
      </c>
      <c r="S234" s="19">
        <f>IF(2026-S$3&gt;IF($D234="",2026,$D234),IF(S$3=12,0.1*$G234,""),IF(2026-S$4&lt;$C234,"",S$4*$G234))</f>
        <v>38525</v>
      </c>
      <c r="T234" s="19">
        <f>IF(2026-T$3&gt;IF($D234="",2026,$D234),IF(T$3=12,0.1*$G234,""),IF(2026-T$4&lt;$C234,"",T$4*$G234))</f>
        <v>48300</v>
      </c>
    </row>
    <row r="235" spans="1:20" s="18" customFormat="1" ht="12" customHeight="1" x14ac:dyDescent="0.2">
      <c r="A235" s="17"/>
      <c r="B235" s="16" t="s">
        <v>212</v>
      </c>
      <c r="C235" s="13">
        <v>2020</v>
      </c>
      <c r="D235" s="13"/>
      <c r="E235" s="13">
        <v>1988</v>
      </c>
      <c r="F235" s="13">
        <v>300</v>
      </c>
      <c r="G235" s="21">
        <v>66400</v>
      </c>
      <c r="H235" s="20"/>
      <c r="I235" s="19">
        <f>IF(2026-I$3&gt;IF($D235="",2026,$D235),IF(I$3=12,0.1*$G235,""),IF(2026-I$4&lt;$C235,"",I$4*$G235))</f>
        <v>6640</v>
      </c>
      <c r="J235" s="19">
        <f>IF(2026-J$3&gt;IF($D235="",2026,$D235),IF(J$3=12,0.1*$G235,""),IF(2026-J$4&lt;$C235,"",J$4*$G235))</f>
        <v>8632</v>
      </c>
      <c r="K235" s="19">
        <f>IF(2026-K$3&gt;IF($D235="",2026,$D235),IF(K$3=12,0.1*$G235,""),IF(2026-K$4&lt;$C235,"",K$4*$G235))</f>
        <v>11288</v>
      </c>
      <c r="L235" s="19">
        <f>IF(2026-L$3&gt;IF($D235="",2026,$D235),IF(L$3=12,0.1*$G235,""),IF(2026-L$4&lt;$C235,"",L$4*$G235))</f>
        <v>12616</v>
      </c>
      <c r="M235" s="19">
        <f>IF(2026-M$3&gt;IF($D235="",2026,$D235),IF(M$3=12,0.1*$G235,""),IF(2026-M$4&lt;$C235,"",M$4*$G235))</f>
        <v>15936</v>
      </c>
      <c r="N235" s="19">
        <f>IF(2026-N$3&gt;IF($D235="",2026,$D235),IF(N$3=12,0.1*$G235,""),IF(2026-N$4&lt;$C235,"",N$4*$G235))</f>
        <v>18592</v>
      </c>
      <c r="O235" s="19">
        <f>IF(2026-O$3&gt;IF($D235="",2026,$D235),IF(O$3=12,0.1*$G235,""),IF(2026-O$4&lt;$C235,"",O$4*$G235))</f>
        <v>22576</v>
      </c>
      <c r="P235" s="19">
        <f>IF(2026-P$3&gt;IF($D235="",2026,$D235),IF(P$3=12,0.1*$G235,""),IF(2026-P$4&lt;$C235,"",P$4*$G235))</f>
        <v>25896</v>
      </c>
      <c r="Q235" s="19">
        <f>IF(2026-Q$3&gt;IF($D235="",2026,$D235),IF(Q$3=12,0.1*$G235,""),IF(2026-Q$4&lt;$C235,"",Q$4*$G235))</f>
        <v>31208</v>
      </c>
      <c r="R235" s="19">
        <f>IF(2026-R$3&gt;IF($D235="",2026,$D235),IF(R$3=12,0.1*$G235,""),IF(2026-R$4&lt;$C235,"",R$4*$G235))</f>
        <v>37184</v>
      </c>
      <c r="S235" s="19">
        <f>IF(2026-S$3&gt;IF($D235="",2026,$D235),IF(S$3=12,0.1*$G235,""),IF(2026-S$4&lt;$C235,"",S$4*$G235))</f>
        <v>44488</v>
      </c>
      <c r="T235" s="19">
        <f>IF(2026-T$3&gt;IF($D235="",2026,$D235),IF(T$3=12,0.1*$G235,""),IF(2026-T$4&lt;$C235,"",T$4*$G235))</f>
        <v>55776</v>
      </c>
    </row>
    <row r="236" spans="1:20" s="18" customFormat="1" ht="12" customHeight="1" x14ac:dyDescent="0.2">
      <c r="A236" s="17"/>
      <c r="B236" s="16" t="s">
        <v>211</v>
      </c>
      <c r="C236" s="13">
        <v>2020</v>
      </c>
      <c r="D236" s="13"/>
      <c r="E236" s="13">
        <v>2497</v>
      </c>
      <c r="F236" s="13">
        <v>350</v>
      </c>
      <c r="G236" s="21">
        <v>71300</v>
      </c>
      <c r="H236" s="20"/>
      <c r="I236" s="19">
        <f>IF(2026-I$3&gt;IF($D236="",2026,$D236),IF(I$3=12,0.1*$G236,""),IF(2026-I$4&lt;$C236,"",I$4*$G236))</f>
        <v>7130</v>
      </c>
      <c r="J236" s="19">
        <f>IF(2026-J$3&gt;IF($D236="",2026,$D236),IF(J$3=12,0.1*$G236,""),IF(2026-J$4&lt;$C236,"",J$4*$G236))</f>
        <v>9269</v>
      </c>
      <c r="K236" s="19">
        <f>IF(2026-K$3&gt;IF($D236="",2026,$D236),IF(K$3=12,0.1*$G236,""),IF(2026-K$4&lt;$C236,"",K$4*$G236))</f>
        <v>12121</v>
      </c>
      <c r="L236" s="19">
        <f>IF(2026-L$3&gt;IF($D236="",2026,$D236),IF(L$3=12,0.1*$G236,""),IF(2026-L$4&lt;$C236,"",L$4*$G236))</f>
        <v>13547</v>
      </c>
      <c r="M236" s="19">
        <f>IF(2026-M$3&gt;IF($D236="",2026,$D236),IF(M$3=12,0.1*$G236,""),IF(2026-M$4&lt;$C236,"",M$4*$G236))</f>
        <v>17112</v>
      </c>
      <c r="N236" s="19">
        <f>IF(2026-N$3&gt;IF($D236="",2026,$D236),IF(N$3=12,0.1*$G236,""),IF(2026-N$4&lt;$C236,"",N$4*$G236))</f>
        <v>19964.000000000004</v>
      </c>
      <c r="O236" s="19">
        <f>IF(2026-O$3&gt;IF($D236="",2026,$D236),IF(O$3=12,0.1*$G236,""),IF(2026-O$4&lt;$C236,"",O$4*$G236))</f>
        <v>24242</v>
      </c>
      <c r="P236" s="19">
        <f>IF(2026-P$3&gt;IF($D236="",2026,$D236),IF(P$3=12,0.1*$G236,""),IF(2026-P$4&lt;$C236,"",P$4*$G236))</f>
        <v>27807</v>
      </c>
      <c r="Q236" s="19">
        <f>IF(2026-Q$3&gt;IF($D236="",2026,$D236),IF(Q$3=12,0.1*$G236,""),IF(2026-Q$4&lt;$C236,"",Q$4*$G236))</f>
        <v>33511</v>
      </c>
      <c r="R236" s="19">
        <f>IF(2026-R$3&gt;IF($D236="",2026,$D236),IF(R$3=12,0.1*$G236,""),IF(2026-R$4&lt;$C236,"",R$4*$G236))</f>
        <v>39928.000000000007</v>
      </c>
      <c r="S236" s="19">
        <f>IF(2026-S$3&gt;IF($D236="",2026,$D236),IF(S$3=12,0.1*$G236,""),IF(2026-S$4&lt;$C236,"",S$4*$G236))</f>
        <v>47771</v>
      </c>
      <c r="T236" s="19">
        <f>IF(2026-T$3&gt;IF($D236="",2026,$D236),IF(T$3=12,0.1*$G236,""),IF(2026-T$4&lt;$C236,"",T$4*$G236))</f>
        <v>59892</v>
      </c>
    </row>
    <row r="237" spans="1:20" s="18" customFormat="1" ht="12" customHeight="1" x14ac:dyDescent="0.2">
      <c r="A237" s="17"/>
      <c r="B237" s="16" t="s">
        <v>210</v>
      </c>
      <c r="C237" s="13">
        <v>2020</v>
      </c>
      <c r="D237" s="13"/>
      <c r="E237" s="13">
        <v>2497</v>
      </c>
      <c r="F237" s="13">
        <v>350</v>
      </c>
      <c r="G237" s="21">
        <v>69300</v>
      </c>
      <c r="H237" s="20"/>
      <c r="I237" s="19">
        <f>IF(2026-I$3&gt;IF($D237="",2026,$D237),IF(I$3=12,0.1*$G237,""),IF(2026-I$4&lt;$C237,"",I$4*$G237))</f>
        <v>6930</v>
      </c>
      <c r="J237" s="19">
        <f>IF(2026-J$3&gt;IF($D237="",2026,$D237),IF(J$3=12,0.1*$G237,""),IF(2026-J$4&lt;$C237,"",J$4*$G237))</f>
        <v>9009</v>
      </c>
      <c r="K237" s="19">
        <f>IF(2026-K$3&gt;IF($D237="",2026,$D237),IF(K$3=12,0.1*$G237,""),IF(2026-K$4&lt;$C237,"",K$4*$G237))</f>
        <v>11781</v>
      </c>
      <c r="L237" s="19">
        <f>IF(2026-L$3&gt;IF($D237="",2026,$D237),IF(L$3=12,0.1*$G237,""),IF(2026-L$4&lt;$C237,"",L$4*$G237))</f>
        <v>13167</v>
      </c>
      <c r="M237" s="19">
        <f>IF(2026-M$3&gt;IF($D237="",2026,$D237),IF(M$3=12,0.1*$G237,""),IF(2026-M$4&lt;$C237,"",M$4*$G237))</f>
        <v>16632</v>
      </c>
      <c r="N237" s="19">
        <f>IF(2026-N$3&gt;IF($D237="",2026,$D237),IF(N$3=12,0.1*$G237,""),IF(2026-N$4&lt;$C237,"",N$4*$G237))</f>
        <v>19404.000000000004</v>
      </c>
      <c r="O237" s="19">
        <f>IF(2026-O$3&gt;IF($D237="",2026,$D237),IF(O$3=12,0.1*$G237,""),IF(2026-O$4&lt;$C237,"",O$4*$G237))</f>
        <v>23562</v>
      </c>
      <c r="P237" s="19">
        <f>IF(2026-P$3&gt;IF($D237="",2026,$D237),IF(P$3=12,0.1*$G237,""),IF(2026-P$4&lt;$C237,"",P$4*$G237))</f>
        <v>27027</v>
      </c>
      <c r="Q237" s="19">
        <f>IF(2026-Q$3&gt;IF($D237="",2026,$D237),IF(Q$3=12,0.1*$G237,""),IF(2026-Q$4&lt;$C237,"",Q$4*$G237))</f>
        <v>32570.999999999996</v>
      </c>
      <c r="R237" s="19">
        <f>IF(2026-R$3&gt;IF($D237="",2026,$D237),IF(R$3=12,0.1*$G237,""),IF(2026-R$4&lt;$C237,"",R$4*$G237))</f>
        <v>38808.000000000007</v>
      </c>
      <c r="S237" s="19">
        <f>IF(2026-S$3&gt;IF($D237="",2026,$D237),IF(S$3=12,0.1*$G237,""),IF(2026-S$4&lt;$C237,"",S$4*$G237))</f>
        <v>46431</v>
      </c>
      <c r="T237" s="19">
        <f>IF(2026-T$3&gt;IF($D237="",2026,$D237),IF(T$3=12,0.1*$G237,""),IF(2026-T$4&lt;$C237,"",T$4*$G237))</f>
        <v>58212</v>
      </c>
    </row>
    <row r="238" spans="1:20" s="18" customFormat="1" ht="12" customHeight="1" x14ac:dyDescent="0.2">
      <c r="A238" s="17"/>
      <c r="B238" s="16" t="s">
        <v>209</v>
      </c>
      <c r="C238" s="13">
        <v>2020</v>
      </c>
      <c r="D238" s="13"/>
      <c r="E238" s="13">
        <v>3995</v>
      </c>
      <c r="F238" s="13">
        <v>400</v>
      </c>
      <c r="G238" s="21">
        <v>85200</v>
      </c>
      <c r="H238" s="20"/>
      <c r="I238" s="19">
        <f>IF(2026-I$3&gt;IF($D238="",2026,$D238),IF(I$3=12,0.1*$G238,""),IF(2026-I$4&lt;$C238,"",I$4*$G238))</f>
        <v>8520</v>
      </c>
      <c r="J238" s="19">
        <f>IF(2026-J$3&gt;IF($D238="",2026,$D238),IF(J$3=12,0.1*$G238,""),IF(2026-J$4&lt;$C238,"",J$4*$G238))</f>
        <v>11076</v>
      </c>
      <c r="K238" s="19">
        <f>IF(2026-K$3&gt;IF($D238="",2026,$D238),IF(K$3=12,0.1*$G238,""),IF(2026-K$4&lt;$C238,"",K$4*$G238))</f>
        <v>14484.000000000002</v>
      </c>
      <c r="L238" s="19">
        <f>IF(2026-L$3&gt;IF($D238="",2026,$D238),IF(L$3=12,0.1*$G238,""),IF(2026-L$4&lt;$C238,"",L$4*$G238))</f>
        <v>16188</v>
      </c>
      <c r="M238" s="19">
        <f>IF(2026-M$3&gt;IF($D238="",2026,$D238),IF(M$3=12,0.1*$G238,""),IF(2026-M$4&lt;$C238,"",M$4*$G238))</f>
        <v>20448</v>
      </c>
      <c r="N238" s="19">
        <f>IF(2026-N$3&gt;IF($D238="",2026,$D238),IF(N$3=12,0.1*$G238,""),IF(2026-N$4&lt;$C238,"",N$4*$G238))</f>
        <v>23856.000000000004</v>
      </c>
      <c r="O238" s="19">
        <f>IF(2026-O$3&gt;IF($D238="",2026,$D238),IF(O$3=12,0.1*$G238,""),IF(2026-O$4&lt;$C238,"",O$4*$G238))</f>
        <v>28968.000000000004</v>
      </c>
      <c r="P238" s="19">
        <f>IF(2026-P$3&gt;IF($D238="",2026,$D238),IF(P$3=12,0.1*$G238,""),IF(2026-P$4&lt;$C238,"",P$4*$G238))</f>
        <v>33228</v>
      </c>
      <c r="Q238" s="19">
        <f>IF(2026-Q$3&gt;IF($D238="",2026,$D238),IF(Q$3=12,0.1*$G238,""),IF(2026-Q$4&lt;$C238,"",Q$4*$G238))</f>
        <v>40044</v>
      </c>
      <c r="R238" s="19">
        <f>IF(2026-R$3&gt;IF($D238="",2026,$D238),IF(R$3=12,0.1*$G238,""),IF(2026-R$4&lt;$C238,"",R$4*$G238))</f>
        <v>47712.000000000007</v>
      </c>
      <c r="S238" s="19">
        <f>IF(2026-S$3&gt;IF($D238="",2026,$D238),IF(S$3=12,0.1*$G238,""),IF(2026-S$4&lt;$C238,"",S$4*$G238))</f>
        <v>57084</v>
      </c>
      <c r="T238" s="19">
        <f>IF(2026-T$3&gt;IF($D238="",2026,$D238),IF(T$3=12,0.1*$G238,""),IF(2026-T$4&lt;$C238,"",T$4*$G238))</f>
        <v>71568</v>
      </c>
    </row>
    <row r="239" spans="1:20" s="18" customFormat="1" ht="12" customHeight="1" x14ac:dyDescent="0.2">
      <c r="A239" s="17"/>
      <c r="B239" s="16" t="s">
        <v>208</v>
      </c>
      <c r="C239" s="13">
        <v>2020</v>
      </c>
      <c r="D239" s="13"/>
      <c r="E239" s="13">
        <v>3995</v>
      </c>
      <c r="F239" s="13">
        <v>400</v>
      </c>
      <c r="G239" s="21">
        <v>83100</v>
      </c>
      <c r="H239" s="20"/>
      <c r="I239" s="19">
        <f>IF(2026-I$3&gt;IF($D239="",2026,$D239),IF(I$3=12,0.1*$G239,""),IF(2026-I$4&lt;$C239,"",I$4*$G239))</f>
        <v>8310</v>
      </c>
      <c r="J239" s="19">
        <f>IF(2026-J$3&gt;IF($D239="",2026,$D239),IF(J$3=12,0.1*$G239,""),IF(2026-J$4&lt;$C239,"",J$4*$G239))</f>
        <v>10803</v>
      </c>
      <c r="K239" s="19">
        <f>IF(2026-K$3&gt;IF($D239="",2026,$D239),IF(K$3=12,0.1*$G239,""),IF(2026-K$4&lt;$C239,"",K$4*$G239))</f>
        <v>14127.000000000002</v>
      </c>
      <c r="L239" s="19">
        <f>IF(2026-L$3&gt;IF($D239="",2026,$D239),IF(L$3=12,0.1*$G239,""),IF(2026-L$4&lt;$C239,"",L$4*$G239))</f>
        <v>15789</v>
      </c>
      <c r="M239" s="19">
        <f>IF(2026-M$3&gt;IF($D239="",2026,$D239),IF(M$3=12,0.1*$G239,""),IF(2026-M$4&lt;$C239,"",M$4*$G239))</f>
        <v>19944</v>
      </c>
      <c r="N239" s="19">
        <f>IF(2026-N$3&gt;IF($D239="",2026,$D239),IF(N$3=12,0.1*$G239,""),IF(2026-N$4&lt;$C239,"",N$4*$G239))</f>
        <v>23268.000000000004</v>
      </c>
      <c r="O239" s="19">
        <f>IF(2026-O$3&gt;IF($D239="",2026,$D239),IF(O$3=12,0.1*$G239,""),IF(2026-O$4&lt;$C239,"",O$4*$G239))</f>
        <v>28254.000000000004</v>
      </c>
      <c r="P239" s="19">
        <f>IF(2026-P$3&gt;IF($D239="",2026,$D239),IF(P$3=12,0.1*$G239,""),IF(2026-P$4&lt;$C239,"",P$4*$G239))</f>
        <v>32409</v>
      </c>
      <c r="Q239" s="19">
        <f>IF(2026-Q$3&gt;IF($D239="",2026,$D239),IF(Q$3=12,0.1*$G239,""),IF(2026-Q$4&lt;$C239,"",Q$4*$G239))</f>
        <v>39057</v>
      </c>
      <c r="R239" s="19">
        <f>IF(2026-R$3&gt;IF($D239="",2026,$D239),IF(R$3=12,0.1*$G239,""),IF(2026-R$4&lt;$C239,"",R$4*$G239))</f>
        <v>46536.000000000007</v>
      </c>
      <c r="S239" s="19">
        <f>IF(2026-S$3&gt;IF($D239="",2026,$D239),IF(S$3=12,0.1*$G239,""),IF(2026-S$4&lt;$C239,"",S$4*$G239))</f>
        <v>55677</v>
      </c>
      <c r="T239" s="19">
        <f>IF(2026-T$3&gt;IF($D239="",2026,$D239),IF(T$3=12,0.1*$G239,""),IF(2026-T$4&lt;$C239,"",T$4*$G239))</f>
        <v>69804</v>
      </c>
    </row>
    <row r="240" spans="1:20" s="18" customFormat="1" ht="12" customHeight="1" x14ac:dyDescent="0.2">
      <c r="A240" s="17"/>
      <c r="B240" s="16" t="s">
        <v>207</v>
      </c>
      <c r="C240" s="13">
        <v>2020</v>
      </c>
      <c r="D240" s="13"/>
      <c r="E240" s="13">
        <v>3995</v>
      </c>
      <c r="F240" s="13">
        <v>420</v>
      </c>
      <c r="G240" s="21">
        <v>97600</v>
      </c>
      <c r="H240" s="20"/>
      <c r="I240" s="19">
        <f>IF(2026-I$3&gt;IF($D240="",2026,$D240),IF(I$3=12,0.1*$G240,""),IF(2026-I$4&lt;$C240,"",I$4*$G240))</f>
        <v>9760</v>
      </c>
      <c r="J240" s="19">
        <f>IF(2026-J$3&gt;IF($D240="",2026,$D240),IF(J$3=12,0.1*$G240,""),IF(2026-J$4&lt;$C240,"",J$4*$G240))</f>
        <v>12688</v>
      </c>
      <c r="K240" s="19">
        <f>IF(2026-K$3&gt;IF($D240="",2026,$D240),IF(K$3=12,0.1*$G240,""),IF(2026-K$4&lt;$C240,"",K$4*$G240))</f>
        <v>16592</v>
      </c>
      <c r="L240" s="19">
        <f>IF(2026-L$3&gt;IF($D240="",2026,$D240),IF(L$3=12,0.1*$G240,""),IF(2026-L$4&lt;$C240,"",L$4*$G240))</f>
        <v>18544</v>
      </c>
      <c r="M240" s="19">
        <f>IF(2026-M$3&gt;IF($D240="",2026,$D240),IF(M$3=12,0.1*$G240,""),IF(2026-M$4&lt;$C240,"",M$4*$G240))</f>
        <v>23424</v>
      </c>
      <c r="N240" s="19">
        <f>IF(2026-N$3&gt;IF($D240="",2026,$D240),IF(N$3=12,0.1*$G240,""),IF(2026-N$4&lt;$C240,"",N$4*$G240))</f>
        <v>27328.000000000004</v>
      </c>
      <c r="O240" s="19">
        <f>IF(2026-O$3&gt;IF($D240="",2026,$D240),IF(O$3=12,0.1*$G240,""),IF(2026-O$4&lt;$C240,"",O$4*$G240))</f>
        <v>33184</v>
      </c>
      <c r="P240" s="19">
        <f>IF(2026-P$3&gt;IF($D240="",2026,$D240),IF(P$3=12,0.1*$G240,""),IF(2026-P$4&lt;$C240,"",P$4*$G240))</f>
        <v>38064</v>
      </c>
      <c r="Q240" s="19">
        <f>IF(2026-Q$3&gt;IF($D240="",2026,$D240),IF(Q$3=12,0.1*$G240,""),IF(2026-Q$4&lt;$C240,"",Q$4*$G240))</f>
        <v>45872</v>
      </c>
      <c r="R240" s="19">
        <f>IF(2026-R$3&gt;IF($D240="",2026,$D240),IF(R$3=12,0.1*$G240,""),IF(2026-R$4&lt;$C240,"",R$4*$G240))</f>
        <v>54656.000000000007</v>
      </c>
      <c r="S240" s="19">
        <f>IF(2026-S$3&gt;IF($D240="",2026,$D240),IF(S$3=12,0.1*$G240,""),IF(2026-S$4&lt;$C240,"",S$4*$G240))</f>
        <v>65392.000000000007</v>
      </c>
      <c r="T240" s="19">
        <f>IF(2026-T$3&gt;IF($D240="",2026,$D240),IF(T$3=12,0.1*$G240,""),IF(2026-T$4&lt;$C240,"",T$4*$G240))</f>
        <v>81984</v>
      </c>
    </row>
    <row r="241" spans="1:20" s="18" customFormat="1" ht="12" customHeight="1" x14ac:dyDescent="0.2">
      <c r="A241" s="17"/>
      <c r="B241" s="16" t="s">
        <v>206</v>
      </c>
      <c r="C241" s="13">
        <v>2021</v>
      </c>
      <c r="D241" s="13"/>
      <c r="E241" s="13">
        <v>3995</v>
      </c>
      <c r="F241" s="13">
        <v>400</v>
      </c>
      <c r="G241" s="21">
        <v>97300</v>
      </c>
      <c r="H241" s="20"/>
      <c r="I241" s="19">
        <f>IF(2026-I$3&gt;IF($D241="",2026,$D241),IF(I$3=12,0.1*$G241,""),IF(2026-I$4&lt;$C241,"",I$4*$G241))</f>
        <v>9730</v>
      </c>
      <c r="J241" s="19">
        <f>IF(2026-J$3&gt;IF($D241="",2026,$D241),IF(J$3=12,0.1*$G241,""),IF(2026-J$4&lt;$C241,"",J$4*$G241))</f>
        <v>12649</v>
      </c>
      <c r="K241" s="19">
        <f>IF(2026-K$3&gt;IF($D241="",2026,$D241),IF(K$3=12,0.1*$G241,""),IF(2026-K$4&lt;$C241,"",K$4*$G241))</f>
        <v>16541</v>
      </c>
      <c r="L241" s="19">
        <f>IF(2026-L$3&gt;IF($D241="",2026,$D241),IF(L$3=12,0.1*$G241,""),IF(2026-L$4&lt;$C241,"",L$4*$G241))</f>
        <v>18487</v>
      </c>
      <c r="M241" s="19">
        <f>IF(2026-M$3&gt;IF($D241="",2026,$D241),IF(M$3=12,0.1*$G241,""),IF(2026-M$4&lt;$C241,"",M$4*$G241))</f>
        <v>23352</v>
      </c>
      <c r="N241" s="19">
        <f>IF(2026-N$3&gt;IF($D241="",2026,$D241),IF(N$3=12,0.1*$G241,""),IF(2026-N$4&lt;$C241,"",N$4*$G241))</f>
        <v>27244.000000000004</v>
      </c>
      <c r="O241" s="19">
        <f>IF(2026-O$3&gt;IF($D241="",2026,$D241),IF(O$3=12,0.1*$G241,""),IF(2026-O$4&lt;$C241,"",O$4*$G241))</f>
        <v>33082</v>
      </c>
      <c r="P241" s="19">
        <f>IF(2026-P$3&gt;IF($D241="",2026,$D241),IF(P$3=12,0.1*$G241,""),IF(2026-P$4&lt;$C241,"",P$4*$G241))</f>
        <v>37947</v>
      </c>
      <c r="Q241" s="19">
        <f>IF(2026-Q$3&gt;IF($D241="",2026,$D241),IF(Q$3=12,0.1*$G241,""),IF(2026-Q$4&lt;$C241,"",Q$4*$G241))</f>
        <v>45731</v>
      </c>
      <c r="R241" s="19">
        <f>IF(2026-R$3&gt;IF($D241="",2026,$D241),IF(R$3=12,0.1*$G241,""),IF(2026-R$4&lt;$C241,"",R$4*$G241))</f>
        <v>54488.000000000007</v>
      </c>
      <c r="S241" s="19">
        <f>IF(2026-S$3&gt;IF($D241="",2026,$D241),IF(S$3=12,0.1*$G241,""),IF(2026-S$4&lt;$C241,"",S$4*$G241))</f>
        <v>65191.000000000007</v>
      </c>
      <c r="T241" s="19">
        <f>IF(2026-T$3&gt;IF($D241="",2026,$D241),IF(T$3=12,0.1*$G241,""),IF(2026-T$4&lt;$C241,"",T$4*$G241))</f>
        <v>81732</v>
      </c>
    </row>
    <row r="242" spans="1:20" s="18" customFormat="1" ht="12" customHeight="1" x14ac:dyDescent="0.2">
      <c r="A242" s="17"/>
      <c r="B242" s="16" t="s">
        <v>205</v>
      </c>
      <c r="C242" s="13">
        <v>2021</v>
      </c>
      <c r="D242" s="13"/>
      <c r="E242" s="13">
        <v>3995</v>
      </c>
      <c r="F242" s="13">
        <v>420</v>
      </c>
      <c r="G242" s="21">
        <v>97100</v>
      </c>
      <c r="H242" s="20"/>
      <c r="I242" s="19">
        <f>IF(2026-I$3&gt;IF($D242="",2026,$D242),IF(I$3=12,0.1*$G242,""),IF(2026-I$4&lt;$C242,"",I$4*$G242))</f>
        <v>9710</v>
      </c>
      <c r="J242" s="19">
        <f>IF(2026-J$3&gt;IF($D242="",2026,$D242),IF(J$3=12,0.1*$G242,""),IF(2026-J$4&lt;$C242,"",J$4*$G242))</f>
        <v>12623</v>
      </c>
      <c r="K242" s="19">
        <f>IF(2026-K$3&gt;IF($D242="",2026,$D242),IF(K$3=12,0.1*$G242,""),IF(2026-K$4&lt;$C242,"",K$4*$G242))</f>
        <v>16507</v>
      </c>
      <c r="L242" s="19">
        <f>IF(2026-L$3&gt;IF($D242="",2026,$D242),IF(L$3=12,0.1*$G242,""),IF(2026-L$4&lt;$C242,"",L$4*$G242))</f>
        <v>18449</v>
      </c>
      <c r="M242" s="19">
        <f>IF(2026-M$3&gt;IF($D242="",2026,$D242),IF(M$3=12,0.1*$G242,""),IF(2026-M$4&lt;$C242,"",M$4*$G242))</f>
        <v>23304</v>
      </c>
      <c r="N242" s="19">
        <f>IF(2026-N$3&gt;IF($D242="",2026,$D242),IF(N$3=12,0.1*$G242,""),IF(2026-N$4&lt;$C242,"",N$4*$G242))</f>
        <v>27188.000000000004</v>
      </c>
      <c r="O242" s="19">
        <f>IF(2026-O$3&gt;IF($D242="",2026,$D242),IF(O$3=12,0.1*$G242,""),IF(2026-O$4&lt;$C242,"",O$4*$G242))</f>
        <v>33014</v>
      </c>
      <c r="P242" s="19">
        <f>IF(2026-P$3&gt;IF($D242="",2026,$D242),IF(P$3=12,0.1*$G242,""),IF(2026-P$4&lt;$C242,"",P$4*$G242))</f>
        <v>37869</v>
      </c>
      <c r="Q242" s="19">
        <f>IF(2026-Q$3&gt;IF($D242="",2026,$D242),IF(Q$3=12,0.1*$G242,""),IF(2026-Q$4&lt;$C242,"",Q$4*$G242))</f>
        <v>45637</v>
      </c>
      <c r="R242" s="19">
        <f>IF(2026-R$3&gt;IF($D242="",2026,$D242),IF(R$3=12,0.1*$G242,""),IF(2026-R$4&lt;$C242,"",R$4*$G242))</f>
        <v>54376.000000000007</v>
      </c>
      <c r="S242" s="19">
        <f>IF(2026-S$3&gt;IF($D242="",2026,$D242),IF(S$3=12,0.1*$G242,""),IF(2026-S$4&lt;$C242,"",S$4*$G242))</f>
        <v>65057.000000000007</v>
      </c>
      <c r="T242" s="19">
        <f>IF(2026-T$3&gt;IF($D242="",2026,$D242),IF(T$3=12,0.1*$G242,""),IF(2026-T$4&lt;$C242,"",T$4*$G242))</f>
        <v>81564</v>
      </c>
    </row>
    <row r="243" spans="1:20" s="18" customFormat="1" ht="12" customHeight="1" x14ac:dyDescent="0.2">
      <c r="A243" s="17"/>
      <c r="B243" s="16"/>
      <c r="C243" s="13"/>
      <c r="D243" s="13"/>
      <c r="E243" s="13"/>
      <c r="F243" s="13"/>
      <c r="G243" s="21"/>
      <c r="H243" s="20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s="18" customFormat="1" ht="12" customHeight="1" x14ac:dyDescent="0.2">
      <c r="A244" s="17"/>
      <c r="B244" s="16" t="s">
        <v>204</v>
      </c>
      <c r="C244" s="13">
        <v>2003</v>
      </c>
      <c r="D244" s="13">
        <v>2006</v>
      </c>
      <c r="E244" s="13">
        <v>5700</v>
      </c>
      <c r="F244" s="13">
        <v>612</v>
      </c>
      <c r="G244" s="21">
        <v>407000</v>
      </c>
      <c r="H244" s="20"/>
      <c r="I244" s="19">
        <f>IF(2026-I$3&gt;IF($D244="",2026,$D244),IF(I$3=12,0.1*$G244,""),IF(2026-I$4&lt;$C244,"",I$4*$G244))</f>
        <v>40700</v>
      </c>
      <c r="J244" s="19" t="str">
        <f>IF(2026-J$3&gt;IF($D244="",2026,$D244),IF(J$3=12,0.1*$G244,""),IF(2026-J$4&lt;$C244,"",J$4*$G244))</f>
        <v/>
      </c>
      <c r="K244" s="19" t="str">
        <f>IF(2026-K$3&gt;IF($D244="",2026,$D244),IF(K$3=12,0.1*$G244,""),IF(2026-K$4&lt;$C244,"",K$4*$G244))</f>
        <v/>
      </c>
      <c r="L244" s="19" t="str">
        <f>IF(2026-L$3&gt;IF($D244="",2026,$D244),IF(L$3=12,0.1*$G244,""),IF(2026-L$4&lt;$C244,"",L$4*$G244))</f>
        <v/>
      </c>
      <c r="M244" s="19" t="str">
        <f>IF(2026-M$3&gt;IF($D244="",2026,$D244),IF(M$3=12,0.1*$G244,""),IF(2026-M$4&lt;$C244,"",M$4*$G244))</f>
        <v/>
      </c>
      <c r="N244" s="19" t="str">
        <f>IF(2026-N$3&gt;IF($D244="",2026,$D244),IF(N$3=12,0.1*$G244,""),IF(2026-N$4&lt;$C244,"",N$4*$G244))</f>
        <v/>
      </c>
      <c r="O244" s="19" t="str">
        <f>IF(2026-O$3&gt;IF($D244="",2026,$D244),IF(O$3=12,0.1*$G244,""),IF(2026-O$4&lt;$C244,"",O$4*$G244))</f>
        <v/>
      </c>
      <c r="P244" s="19" t="str">
        <f>IF(2026-P$3&gt;IF($D244="",2026,$D244),IF(P$3=12,0.1*$G244,""),IF(2026-P$4&lt;$C244,"",P$4*$G244))</f>
        <v/>
      </c>
      <c r="Q244" s="19" t="str">
        <f>IF(2026-Q$3&gt;IF($D244="",2026,$D244),IF(Q$3=12,0.1*$G244,""),IF(2026-Q$4&lt;$C244,"",Q$4*$G244))</f>
        <v/>
      </c>
      <c r="R244" s="19" t="str">
        <f>IF(2026-R$3&gt;IF($D244="",2026,$D244),IF(R$3=12,0.1*$G244,""),IF(2026-R$4&lt;$C244,"",R$4*$G244))</f>
        <v/>
      </c>
      <c r="S244" s="19" t="str">
        <f>IF(2026-S$3&gt;IF($D244="",2026,$D244),IF(S$3=12,0.1*$G244,""),IF(2026-S$4&lt;$C244,"",S$4*$G244))</f>
        <v/>
      </c>
      <c r="T244" s="19" t="str">
        <f>IF(2026-T$3&gt;IF($D244="",2026,$D244),IF(T$3=12,0.1*$G244,""),IF(2026-T$4&lt;$C244,"",T$4*$G244))</f>
        <v/>
      </c>
    </row>
    <row r="245" spans="1:20" s="18" customFormat="1" ht="12" customHeight="1" x14ac:dyDescent="0.2">
      <c r="A245" s="17"/>
      <c r="B245" s="16" t="s">
        <v>203</v>
      </c>
      <c r="C245" s="13">
        <v>2013</v>
      </c>
      <c r="D245" s="13"/>
      <c r="E245" s="13">
        <v>4593</v>
      </c>
      <c r="F245" s="13">
        <v>795</v>
      </c>
      <c r="G245" s="21">
        <v>732300</v>
      </c>
      <c r="H245" s="20"/>
      <c r="I245" s="19">
        <f>IF(2026-I$3&gt;IF($D245="",2026,$D245),IF(I$3=12,0.1*$G245,""),IF(2026-I$4&lt;$C245,"",I$4*$G245))</f>
        <v>73230</v>
      </c>
      <c r="J245" s="19">
        <f>IF(2026-J$3&gt;IF($D245="",2026,$D245),IF(J$3=12,0.1*$G245,""),IF(2026-J$4&lt;$C245,"",J$4*$G245))</f>
        <v>95199</v>
      </c>
      <c r="K245" s="19">
        <f>IF(2026-K$3&gt;IF($D245="",2026,$D245),IF(K$3=12,0.1*$G245,""),IF(2026-K$4&lt;$C245,"",K$4*$G245))</f>
        <v>124491.00000000001</v>
      </c>
      <c r="L245" s="19">
        <f>IF(2026-L$3&gt;IF($D245="",2026,$D245),IF(L$3=12,0.1*$G245,""),IF(2026-L$4&lt;$C245,"",L$4*$G245))</f>
        <v>139137</v>
      </c>
      <c r="M245" s="19">
        <f>IF(2026-M$3&gt;IF($D245="",2026,$D245),IF(M$3=12,0.1*$G245,""),IF(2026-M$4&lt;$C245,"",M$4*$G245))</f>
        <v>175752</v>
      </c>
      <c r="N245" s="19">
        <f>IF(2026-N$3&gt;IF($D245="",2026,$D245),IF(N$3=12,0.1*$G245,""),IF(2026-N$4&lt;$C245,"",N$4*$G245))</f>
        <v>205044.00000000003</v>
      </c>
      <c r="O245" s="19">
        <f>IF(2026-O$3&gt;IF($D245="",2026,$D245),IF(O$3=12,0.1*$G245,""),IF(2026-O$4&lt;$C245,"",O$4*$G245))</f>
        <v>248982.00000000003</v>
      </c>
      <c r="P245" s="19">
        <f>IF(2026-P$3&gt;IF($D245="",2026,$D245),IF(P$3=12,0.1*$G245,""),IF(2026-P$4&lt;$C245,"",P$4*$G245))</f>
        <v>285597</v>
      </c>
      <c r="Q245" s="19">
        <f>IF(2026-Q$3&gt;IF($D245="",2026,$D245),IF(Q$3=12,0.1*$G245,""),IF(2026-Q$4&lt;$C245,"",Q$4*$G245))</f>
        <v>344181</v>
      </c>
      <c r="R245" s="19">
        <f>IF(2026-R$3&gt;IF($D245="",2026,$D245),IF(R$3=12,0.1*$G245,""),IF(2026-R$4&lt;$C245,"",R$4*$G245))</f>
        <v>410088.00000000006</v>
      </c>
      <c r="S245" s="19">
        <f>IF(2026-S$3&gt;IF($D245="",2026,$D245),IF(S$3=12,0.1*$G245,""),IF(2026-S$4&lt;$C245,"",S$4*$G245))</f>
        <v>490641.00000000006</v>
      </c>
      <c r="T245" s="19">
        <f>IF(2026-T$3&gt;IF($D245="",2026,$D245),IF(T$3=12,0.1*$G245,""),IF(2026-T$4&lt;$C245,"",T$4*$G245))</f>
        <v>615132</v>
      </c>
    </row>
    <row r="246" spans="1:20" s="18" customFormat="1" ht="12" customHeight="1" x14ac:dyDescent="0.2">
      <c r="A246" s="17"/>
      <c r="B246" s="16" t="s">
        <v>202</v>
      </c>
      <c r="C246" s="13">
        <v>2013</v>
      </c>
      <c r="D246" s="13"/>
      <c r="E246" s="13">
        <v>4593</v>
      </c>
      <c r="F246" s="13">
        <v>887</v>
      </c>
      <c r="G246" s="21">
        <v>670500</v>
      </c>
      <c r="H246" s="20"/>
      <c r="I246" s="19">
        <f>IF(2026-I$3&gt;IF($D246="",2026,$D246),IF(I$3=12,0.1*$G246,""),IF(2026-I$4&lt;$C246,"",I$4*$G246))</f>
        <v>67050</v>
      </c>
      <c r="J246" s="19">
        <f>IF(2026-J$3&gt;IF($D246="",2026,$D246),IF(J$3=12,0.1*$G246,""),IF(2026-J$4&lt;$C246,"",J$4*$G246))</f>
        <v>87165</v>
      </c>
      <c r="K246" s="19">
        <f>IF(2026-K$3&gt;IF($D246="",2026,$D246),IF(K$3=12,0.1*$G246,""),IF(2026-K$4&lt;$C246,"",K$4*$G246))</f>
        <v>113985.00000000001</v>
      </c>
      <c r="L246" s="19">
        <f>IF(2026-L$3&gt;IF($D246="",2026,$D246),IF(L$3=12,0.1*$G246,""),IF(2026-L$4&lt;$C246,"",L$4*$G246))</f>
        <v>127395</v>
      </c>
      <c r="M246" s="19">
        <f>IF(2026-M$3&gt;IF($D246="",2026,$D246),IF(M$3=12,0.1*$G246,""),IF(2026-M$4&lt;$C246,"",M$4*$G246))</f>
        <v>160920</v>
      </c>
      <c r="N246" s="19">
        <f>IF(2026-N$3&gt;IF($D246="",2026,$D246),IF(N$3=12,0.1*$G246,""),IF(2026-N$4&lt;$C246,"",N$4*$G246))</f>
        <v>187740.00000000003</v>
      </c>
      <c r="O246" s="19">
        <f>IF(2026-O$3&gt;IF($D246="",2026,$D246),IF(O$3=12,0.1*$G246,""),IF(2026-O$4&lt;$C246,"",O$4*$G246))</f>
        <v>227970.00000000003</v>
      </c>
      <c r="P246" s="19">
        <f>IF(2026-P$3&gt;IF($D246="",2026,$D246),IF(P$3=12,0.1*$G246,""),IF(2026-P$4&lt;$C246,"",P$4*$G246))</f>
        <v>261495</v>
      </c>
      <c r="Q246" s="19">
        <f>IF(2026-Q$3&gt;IF($D246="",2026,$D246),IF(Q$3=12,0.1*$G246,""),IF(2026-Q$4&lt;$C246,"",Q$4*$G246))</f>
        <v>315135</v>
      </c>
      <c r="R246" s="19">
        <f>IF(2026-R$3&gt;IF($D246="",2026,$D246),IF(R$3=12,0.1*$G246,""),IF(2026-R$4&lt;$C246,"",R$4*$G246))</f>
        <v>375480.00000000006</v>
      </c>
      <c r="S246" s="19">
        <f>IF(2026-S$3&gt;IF($D246="",2026,$D246),IF(S$3=12,0.1*$G246,""),IF(2026-S$4&lt;$C246,"",S$4*$G246))</f>
        <v>449235</v>
      </c>
      <c r="T246" s="19">
        <f>IF(2026-T$3&gt;IF($D246="",2026,$D246),IF(T$3=12,0.1*$G246,""),IF(2026-T$4&lt;$C246,"",T$4*$G246))</f>
        <v>563220</v>
      </c>
    </row>
    <row r="247" spans="1:20" s="18" customFormat="1" ht="12" customHeight="1" x14ac:dyDescent="0.2">
      <c r="A247" s="17"/>
      <c r="B247" s="16"/>
      <c r="C247" s="13"/>
      <c r="D247" s="13"/>
      <c r="E247" s="13"/>
      <c r="F247" s="13"/>
      <c r="G247" s="21"/>
      <c r="H247" s="20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s="18" customFormat="1" ht="12" customHeight="1" x14ac:dyDescent="0.2">
      <c r="A248" s="17"/>
      <c r="B248" s="16" t="s">
        <v>201</v>
      </c>
      <c r="C248" s="13">
        <v>2002</v>
      </c>
      <c r="D248" s="13">
        <v>2006</v>
      </c>
      <c r="E248" s="13">
        <v>3189</v>
      </c>
      <c r="F248" s="13">
        <v>250</v>
      </c>
      <c r="G248" s="21">
        <v>45700</v>
      </c>
      <c r="H248" s="20"/>
      <c r="I248" s="19">
        <f>IF(2026-I$3&gt;IF($D248="",2026,$D248),IF(I$3=12,0.1*$G248,""),IF(2026-I$4&lt;$C248,"",I$4*$G248))</f>
        <v>4570</v>
      </c>
      <c r="J248" s="19" t="str">
        <f>IF(2026-J$3&gt;IF($D248="",2026,$D248),IF(J$3=12,0.1*$G248,""),IF(2026-J$4&lt;$C248,"",J$4*$G248))</f>
        <v/>
      </c>
      <c r="K248" s="19" t="str">
        <f>IF(2026-K$3&gt;IF($D248="",2026,$D248),IF(K$3=12,0.1*$G248,""),IF(2026-K$4&lt;$C248,"",K$4*$G248))</f>
        <v/>
      </c>
      <c r="L248" s="19" t="str">
        <f>IF(2026-L$3&gt;IF($D248="",2026,$D248),IF(L$3=12,0.1*$G248,""),IF(2026-L$4&lt;$C248,"",L$4*$G248))</f>
        <v/>
      </c>
      <c r="M248" s="19" t="str">
        <f>IF(2026-M$3&gt;IF($D248="",2026,$D248),IF(M$3=12,0.1*$G248,""),IF(2026-M$4&lt;$C248,"",M$4*$G248))</f>
        <v/>
      </c>
      <c r="N248" s="19" t="str">
        <f>IF(2026-N$3&gt;IF($D248="",2026,$D248),IF(N$3=12,0.1*$G248,""),IF(2026-N$4&lt;$C248,"",N$4*$G248))</f>
        <v/>
      </c>
      <c r="O248" s="19" t="str">
        <f>IF(2026-O$3&gt;IF($D248="",2026,$D248),IF(O$3=12,0.1*$G248,""),IF(2026-O$4&lt;$C248,"",O$4*$G248))</f>
        <v/>
      </c>
      <c r="P248" s="19" t="str">
        <f>IF(2026-P$3&gt;IF($D248="",2026,$D248),IF(P$3=12,0.1*$G248,""),IF(2026-P$4&lt;$C248,"",P$4*$G248))</f>
        <v/>
      </c>
      <c r="Q248" s="19" t="str">
        <f>IF(2026-Q$3&gt;IF($D248="",2026,$D248),IF(Q$3=12,0.1*$G248,""),IF(2026-Q$4&lt;$C248,"",Q$4*$G248))</f>
        <v/>
      </c>
      <c r="R248" s="19" t="str">
        <f>IF(2026-R$3&gt;IF($D248="",2026,$D248),IF(R$3=12,0.1*$G248,""),IF(2026-R$4&lt;$C248,"",R$4*$G248))</f>
        <v/>
      </c>
      <c r="S248" s="19" t="str">
        <f>IF(2026-S$3&gt;IF($D248="",2026,$D248),IF(S$3=12,0.1*$G248,""),IF(2026-S$4&lt;$C248,"",S$4*$G248))</f>
        <v/>
      </c>
      <c r="T248" s="19" t="str">
        <f>IF(2026-T$3&gt;IF($D248="",2026,$D248),IF(T$3=12,0.1*$G248,""),IF(2026-T$4&lt;$C248,"",T$4*$G248))</f>
        <v/>
      </c>
    </row>
    <row r="249" spans="1:20" s="18" customFormat="1" ht="12" customHeight="1" x14ac:dyDescent="0.2">
      <c r="A249" s="17"/>
      <c r="B249" s="16" t="s">
        <v>200</v>
      </c>
      <c r="C249" s="13">
        <v>2002</v>
      </c>
      <c r="D249" s="13">
        <v>2006</v>
      </c>
      <c r="E249" s="13">
        <v>4511</v>
      </c>
      <c r="F249" s="13">
        <v>340</v>
      </c>
      <c r="G249" s="21">
        <v>58900</v>
      </c>
      <c r="H249" s="20"/>
      <c r="I249" s="19">
        <f>IF(2026-I$3&gt;IF($D249="",2026,$D249),IF(I$3=12,0.1*$G249,""),IF(2026-I$4&lt;$C249,"",I$4*$G249))</f>
        <v>5890</v>
      </c>
      <c r="J249" s="19" t="str">
        <f>IF(2026-J$3&gt;IF($D249="",2026,$D249),IF(J$3=12,0.1*$G249,""),IF(2026-J$4&lt;$C249,"",J$4*$G249))</f>
        <v/>
      </c>
      <c r="K249" s="19" t="str">
        <f>IF(2026-K$3&gt;IF($D249="",2026,$D249),IF(K$3=12,0.1*$G249,""),IF(2026-K$4&lt;$C249,"",K$4*$G249))</f>
        <v/>
      </c>
      <c r="L249" s="19" t="str">
        <f>IF(2026-L$3&gt;IF($D249="",2026,$D249),IF(L$3=12,0.1*$G249,""),IF(2026-L$4&lt;$C249,"",L$4*$G249))</f>
        <v/>
      </c>
      <c r="M249" s="19" t="str">
        <f>IF(2026-M$3&gt;IF($D249="",2026,$D249),IF(M$3=12,0.1*$G249,""),IF(2026-M$4&lt;$C249,"",M$4*$G249))</f>
        <v/>
      </c>
      <c r="N249" s="19" t="str">
        <f>IF(2026-N$3&gt;IF($D249="",2026,$D249),IF(N$3=12,0.1*$G249,""),IF(2026-N$4&lt;$C249,"",N$4*$G249))</f>
        <v/>
      </c>
      <c r="O249" s="19" t="str">
        <f>IF(2026-O$3&gt;IF($D249="",2026,$D249),IF(O$3=12,0.1*$G249,""),IF(2026-O$4&lt;$C249,"",O$4*$G249))</f>
        <v/>
      </c>
      <c r="P249" s="19" t="str">
        <f>IF(2026-P$3&gt;IF($D249="",2026,$D249),IF(P$3=12,0.1*$G249,""),IF(2026-P$4&lt;$C249,"",P$4*$G249))</f>
        <v/>
      </c>
      <c r="Q249" s="19" t="str">
        <f>IF(2026-Q$3&gt;IF($D249="",2026,$D249),IF(Q$3=12,0.1*$G249,""),IF(2026-Q$4&lt;$C249,"",Q$4*$G249))</f>
        <v/>
      </c>
      <c r="R249" s="19" t="str">
        <f>IF(2026-R$3&gt;IF($D249="",2026,$D249),IF(R$3=12,0.1*$G249,""),IF(2026-R$4&lt;$C249,"",R$4*$G249))</f>
        <v/>
      </c>
      <c r="S249" s="19" t="str">
        <f>IF(2026-S$3&gt;IF($D249="",2026,$D249),IF(S$3=12,0.1*$G249,""),IF(2026-S$4&lt;$C249,"",S$4*$G249))</f>
        <v/>
      </c>
      <c r="T249" s="19" t="str">
        <f>IF(2026-T$3&gt;IF($D249="",2026,$D249),IF(T$3=12,0.1*$G249,""),IF(2026-T$4&lt;$C249,"",T$4*$G249))</f>
        <v/>
      </c>
    </row>
    <row r="250" spans="1:20" s="18" customFormat="1" ht="12" customHeight="1" x14ac:dyDescent="0.2">
      <c r="A250" s="17"/>
      <c r="B250" s="16" t="s">
        <v>199</v>
      </c>
      <c r="C250" s="13">
        <v>2002</v>
      </c>
      <c r="D250" s="13">
        <v>2006</v>
      </c>
      <c r="E250" s="13">
        <v>4511</v>
      </c>
      <c r="F250" s="13">
        <v>450</v>
      </c>
      <c r="G250" s="21">
        <v>93900</v>
      </c>
      <c r="H250" s="20"/>
      <c r="I250" s="19">
        <f>IF(2026-I$3&gt;IF($D250="",2026,$D250),IF(I$3=12,0.1*$G250,""),IF(2026-I$4&lt;$C250,"",I$4*$G250))</f>
        <v>9390</v>
      </c>
      <c r="J250" s="19" t="str">
        <f>IF(2026-J$3&gt;IF($D250="",2026,$D250),IF(J$3=12,0.1*$G250,""),IF(2026-J$4&lt;$C250,"",J$4*$G250))</f>
        <v/>
      </c>
      <c r="K250" s="19" t="str">
        <f>IF(2026-K$3&gt;IF($D250="",2026,$D250),IF(K$3=12,0.1*$G250,""),IF(2026-K$4&lt;$C250,"",K$4*$G250))</f>
        <v/>
      </c>
      <c r="L250" s="19" t="str">
        <f>IF(2026-L$3&gt;IF($D250="",2026,$D250),IF(L$3=12,0.1*$G250,""),IF(2026-L$4&lt;$C250,"",L$4*$G250))</f>
        <v/>
      </c>
      <c r="M250" s="19" t="str">
        <f>IF(2026-M$3&gt;IF($D250="",2026,$D250),IF(M$3=12,0.1*$G250,""),IF(2026-M$4&lt;$C250,"",M$4*$G250))</f>
        <v/>
      </c>
      <c r="N250" s="19" t="str">
        <f>IF(2026-N$3&gt;IF($D250="",2026,$D250),IF(N$3=12,0.1*$G250,""),IF(2026-N$4&lt;$C250,"",N$4*$G250))</f>
        <v/>
      </c>
      <c r="O250" s="19" t="str">
        <f>IF(2026-O$3&gt;IF($D250="",2026,$D250),IF(O$3=12,0.1*$G250,""),IF(2026-O$4&lt;$C250,"",O$4*$G250))</f>
        <v/>
      </c>
      <c r="P250" s="19" t="str">
        <f>IF(2026-P$3&gt;IF($D250="",2026,$D250),IF(P$3=12,0.1*$G250,""),IF(2026-P$4&lt;$C250,"",P$4*$G250))</f>
        <v/>
      </c>
      <c r="Q250" s="19" t="str">
        <f>IF(2026-Q$3&gt;IF($D250="",2026,$D250),IF(Q$3=12,0.1*$G250,""),IF(2026-Q$4&lt;$C250,"",Q$4*$G250))</f>
        <v/>
      </c>
      <c r="R250" s="19" t="str">
        <f>IF(2026-R$3&gt;IF($D250="",2026,$D250),IF(R$3=12,0.1*$G250,""),IF(2026-R$4&lt;$C250,"",R$4*$G250))</f>
        <v/>
      </c>
      <c r="S250" s="19" t="str">
        <f>IF(2026-S$3&gt;IF($D250="",2026,$D250),IF(S$3=12,0.1*$G250,""),IF(2026-S$4&lt;$C250,"",S$4*$G250))</f>
        <v/>
      </c>
      <c r="T250" s="19" t="str">
        <f>IF(2026-T$3&gt;IF($D250="",2026,$D250),IF(T$3=12,0.1*$G250,""),IF(2026-T$4&lt;$C250,"",T$4*$G250))</f>
        <v/>
      </c>
    </row>
    <row r="251" spans="1:20" s="18" customFormat="1" ht="12" customHeight="1" x14ac:dyDescent="0.2">
      <c r="A251" s="17"/>
      <c r="B251" s="16" t="s">
        <v>198</v>
      </c>
      <c r="C251" s="13">
        <v>2002</v>
      </c>
      <c r="D251" s="13">
        <v>2006</v>
      </c>
      <c r="E251" s="13">
        <v>4511</v>
      </c>
      <c r="F251" s="13">
        <v>521</v>
      </c>
      <c r="G251" s="21">
        <v>110300</v>
      </c>
      <c r="H251" s="20"/>
      <c r="I251" s="19">
        <f>IF(2026-I$3&gt;IF($D251="",2026,$D251),IF(I$3=12,0.1*$G251,""),IF(2026-I$4&lt;$C251,"",I$4*$G251))</f>
        <v>11030</v>
      </c>
      <c r="J251" s="19" t="str">
        <f>IF(2026-J$3&gt;IF($D251="",2026,$D251),IF(J$3=12,0.1*$G251,""),IF(2026-J$4&lt;$C251,"",J$4*$G251))</f>
        <v/>
      </c>
      <c r="K251" s="19" t="str">
        <f>IF(2026-K$3&gt;IF($D251="",2026,$D251),IF(K$3=12,0.1*$G251,""),IF(2026-K$4&lt;$C251,"",K$4*$G251))</f>
        <v/>
      </c>
      <c r="L251" s="19" t="str">
        <f>IF(2026-L$3&gt;IF($D251="",2026,$D251),IF(L$3=12,0.1*$G251,""),IF(2026-L$4&lt;$C251,"",L$4*$G251))</f>
        <v/>
      </c>
      <c r="M251" s="19" t="str">
        <f>IF(2026-M$3&gt;IF($D251="",2026,$D251),IF(M$3=12,0.1*$G251,""),IF(2026-M$4&lt;$C251,"",M$4*$G251))</f>
        <v/>
      </c>
      <c r="N251" s="19" t="str">
        <f>IF(2026-N$3&gt;IF($D251="",2026,$D251),IF(N$3=12,0.1*$G251,""),IF(2026-N$4&lt;$C251,"",N$4*$G251))</f>
        <v/>
      </c>
      <c r="O251" s="19" t="str">
        <f>IF(2026-O$3&gt;IF($D251="",2026,$D251),IF(O$3=12,0.1*$G251,""),IF(2026-O$4&lt;$C251,"",O$4*$G251))</f>
        <v/>
      </c>
      <c r="P251" s="19" t="str">
        <f>IF(2026-P$3&gt;IF($D251="",2026,$D251),IF(P$3=12,0.1*$G251,""),IF(2026-P$4&lt;$C251,"",P$4*$G251))</f>
        <v/>
      </c>
      <c r="Q251" s="19" t="str">
        <f>IF(2026-Q$3&gt;IF($D251="",2026,$D251),IF(Q$3=12,0.1*$G251,""),IF(2026-Q$4&lt;$C251,"",Q$4*$G251))</f>
        <v/>
      </c>
      <c r="R251" s="19" t="str">
        <f>IF(2026-R$3&gt;IF($D251="",2026,$D251),IF(R$3=12,0.1*$G251,""),IF(2026-R$4&lt;$C251,"",R$4*$G251))</f>
        <v/>
      </c>
      <c r="S251" s="19" t="str">
        <f>IF(2026-S$3&gt;IF($D251="",2026,$D251),IF(S$3=12,0.1*$G251,""),IF(2026-S$4&lt;$C251,"",S$4*$G251))</f>
        <v/>
      </c>
      <c r="T251" s="19" t="str">
        <f>IF(2026-T$3&gt;IF($D251="",2026,$D251),IF(T$3=12,0.1*$G251,""),IF(2026-T$4&lt;$C251,"",T$4*$G251))</f>
        <v/>
      </c>
    </row>
    <row r="252" spans="1:20" s="18" customFormat="1" ht="12" customHeight="1" x14ac:dyDescent="0.2">
      <c r="A252" s="17"/>
      <c r="B252" s="16" t="s">
        <v>197</v>
      </c>
      <c r="C252" s="13">
        <v>2007</v>
      </c>
      <c r="D252" s="13">
        <v>2010</v>
      </c>
      <c r="E252" s="13">
        <v>2967</v>
      </c>
      <c r="F252" s="13">
        <v>239</v>
      </c>
      <c r="G252" s="21">
        <v>53000</v>
      </c>
      <c r="H252" s="20"/>
      <c r="I252" s="19">
        <f>IF(2026-I$3&gt;IF($D252="",2026,$D252),IF(I$3=12,0.1*$G252,""),IF(2026-I$4&lt;$C252,"",I$4*$G252))</f>
        <v>5300</v>
      </c>
      <c r="J252" s="19" t="str">
        <f>IF(2026-J$3&gt;IF($D252="",2026,$D252),IF(J$3=12,0.1*$G252,""),IF(2026-J$4&lt;$C252,"",J$4*$G252))</f>
        <v/>
      </c>
      <c r="K252" s="19" t="str">
        <f>IF(2026-K$3&gt;IF($D252="",2026,$D252),IF(K$3=12,0.1*$G252,""),IF(2026-K$4&lt;$C252,"",K$4*$G252))</f>
        <v/>
      </c>
      <c r="L252" s="19" t="str">
        <f>IF(2026-L$3&gt;IF($D252="",2026,$D252),IF(L$3=12,0.1*$G252,""),IF(2026-L$4&lt;$C252,"",L$4*$G252))</f>
        <v/>
      </c>
      <c r="M252" s="19" t="str">
        <f>IF(2026-M$3&gt;IF($D252="",2026,$D252),IF(M$3=12,0.1*$G252,""),IF(2026-M$4&lt;$C252,"",M$4*$G252))</f>
        <v/>
      </c>
      <c r="N252" s="19" t="str">
        <f>IF(2026-N$3&gt;IF($D252="",2026,$D252),IF(N$3=12,0.1*$G252,""),IF(2026-N$4&lt;$C252,"",N$4*$G252))</f>
        <v/>
      </c>
      <c r="O252" s="19" t="str">
        <f>IF(2026-O$3&gt;IF($D252="",2026,$D252),IF(O$3=12,0.1*$G252,""),IF(2026-O$4&lt;$C252,"",O$4*$G252))</f>
        <v/>
      </c>
      <c r="P252" s="19" t="str">
        <f>IF(2026-P$3&gt;IF($D252="",2026,$D252),IF(P$3=12,0.1*$G252,""),IF(2026-P$4&lt;$C252,"",P$4*$G252))</f>
        <v/>
      </c>
      <c r="Q252" s="19" t="str">
        <f>IF(2026-Q$3&gt;IF($D252="",2026,$D252),IF(Q$3=12,0.1*$G252,""),IF(2026-Q$4&lt;$C252,"",Q$4*$G252))</f>
        <v/>
      </c>
      <c r="R252" s="19" t="str">
        <f>IF(2026-R$3&gt;IF($D252="",2026,$D252),IF(R$3=12,0.1*$G252,""),IF(2026-R$4&lt;$C252,"",R$4*$G252))</f>
        <v/>
      </c>
      <c r="S252" s="19" t="str">
        <f>IF(2026-S$3&gt;IF($D252="",2026,$D252),IF(S$3=12,0.1*$G252,""),IF(2026-S$4&lt;$C252,"",S$4*$G252))</f>
        <v/>
      </c>
      <c r="T252" s="19" t="str">
        <f>IF(2026-T$3&gt;IF($D252="",2026,$D252),IF(T$3=12,0.1*$G252,""),IF(2026-T$4&lt;$C252,"",T$4*$G252))</f>
        <v/>
      </c>
    </row>
    <row r="253" spans="1:20" s="18" customFormat="1" ht="12" customHeight="1" x14ac:dyDescent="0.2">
      <c r="A253" s="17"/>
      <c r="B253" s="16" t="s">
        <v>196</v>
      </c>
      <c r="C253" s="13">
        <v>2007</v>
      </c>
      <c r="D253" s="13">
        <v>2010</v>
      </c>
      <c r="E253" s="13">
        <v>3598</v>
      </c>
      <c r="F253" s="13">
        <v>290</v>
      </c>
      <c r="G253" s="21">
        <v>49400</v>
      </c>
      <c r="H253" s="20"/>
      <c r="I253" s="19">
        <f>IF(2026-I$3&gt;IF($D253="",2026,$D253),IF(I$3=12,0.1*$G253,""),IF(2026-I$4&lt;$C253,"",I$4*$G253))</f>
        <v>4940</v>
      </c>
      <c r="J253" s="19" t="str">
        <f>IF(2026-J$3&gt;IF($D253="",2026,$D253),IF(J$3=12,0.1*$G253,""),IF(2026-J$4&lt;$C253,"",J$4*$G253))</f>
        <v/>
      </c>
      <c r="K253" s="19" t="str">
        <f>IF(2026-K$3&gt;IF($D253="",2026,$D253),IF(K$3=12,0.1*$G253,""),IF(2026-K$4&lt;$C253,"",K$4*$G253))</f>
        <v/>
      </c>
      <c r="L253" s="19" t="str">
        <f>IF(2026-L$3&gt;IF($D253="",2026,$D253),IF(L$3=12,0.1*$G253,""),IF(2026-L$4&lt;$C253,"",L$4*$G253))</f>
        <v/>
      </c>
      <c r="M253" s="19" t="str">
        <f>IF(2026-M$3&gt;IF($D253="",2026,$D253),IF(M$3=12,0.1*$G253,""),IF(2026-M$4&lt;$C253,"",M$4*$G253))</f>
        <v/>
      </c>
      <c r="N253" s="19" t="str">
        <f>IF(2026-N$3&gt;IF($D253="",2026,$D253),IF(N$3=12,0.1*$G253,""),IF(2026-N$4&lt;$C253,"",N$4*$G253))</f>
        <v/>
      </c>
      <c r="O253" s="19" t="str">
        <f>IF(2026-O$3&gt;IF($D253="",2026,$D253),IF(O$3=12,0.1*$G253,""),IF(2026-O$4&lt;$C253,"",O$4*$G253))</f>
        <v/>
      </c>
      <c r="P253" s="19" t="str">
        <f>IF(2026-P$3&gt;IF($D253="",2026,$D253),IF(P$3=12,0.1*$G253,""),IF(2026-P$4&lt;$C253,"",P$4*$G253))</f>
        <v/>
      </c>
      <c r="Q253" s="19" t="str">
        <f>IF(2026-Q$3&gt;IF($D253="",2026,$D253),IF(Q$3=12,0.1*$G253,""),IF(2026-Q$4&lt;$C253,"",Q$4*$G253))</f>
        <v/>
      </c>
      <c r="R253" s="19" t="str">
        <f>IF(2026-R$3&gt;IF($D253="",2026,$D253),IF(R$3=12,0.1*$G253,""),IF(2026-R$4&lt;$C253,"",R$4*$G253))</f>
        <v/>
      </c>
      <c r="S253" s="19" t="str">
        <f>IF(2026-S$3&gt;IF($D253="",2026,$D253),IF(S$3=12,0.1*$G253,""),IF(2026-S$4&lt;$C253,"",S$4*$G253))</f>
        <v/>
      </c>
      <c r="T253" s="19" t="str">
        <f>IF(2026-T$3&gt;IF($D253="",2026,$D253),IF(T$3=12,0.1*$G253,""),IF(2026-T$4&lt;$C253,"",T$4*$G253))</f>
        <v/>
      </c>
    </row>
    <row r="254" spans="1:20" s="18" customFormat="1" ht="12" customHeight="1" x14ac:dyDescent="0.2">
      <c r="A254" s="17"/>
      <c r="B254" s="16" t="s">
        <v>185</v>
      </c>
      <c r="C254" s="13">
        <v>2007</v>
      </c>
      <c r="D254" s="13">
        <v>2010</v>
      </c>
      <c r="E254" s="13">
        <v>4806</v>
      </c>
      <c r="F254" s="13">
        <v>385</v>
      </c>
      <c r="G254" s="21">
        <v>61100</v>
      </c>
      <c r="H254" s="20"/>
      <c r="I254" s="19">
        <f>IF(2026-I$3&gt;IF($D254="",2026,$D254),IF(I$3=12,0.1*$G254,""),IF(2026-I$4&lt;$C254,"",I$4*$G254))</f>
        <v>6110</v>
      </c>
      <c r="J254" s="19" t="str">
        <f>IF(2026-J$3&gt;IF($D254="",2026,$D254),IF(J$3=12,0.1*$G254,""),IF(2026-J$4&lt;$C254,"",J$4*$G254))</f>
        <v/>
      </c>
      <c r="K254" s="19" t="str">
        <f>IF(2026-K$3&gt;IF($D254="",2026,$D254),IF(K$3=12,0.1*$G254,""),IF(2026-K$4&lt;$C254,"",K$4*$G254))</f>
        <v/>
      </c>
      <c r="L254" s="19" t="str">
        <f>IF(2026-L$3&gt;IF($D254="",2026,$D254),IF(L$3=12,0.1*$G254,""),IF(2026-L$4&lt;$C254,"",L$4*$G254))</f>
        <v/>
      </c>
      <c r="M254" s="19" t="str">
        <f>IF(2026-M$3&gt;IF($D254="",2026,$D254),IF(M$3=12,0.1*$G254,""),IF(2026-M$4&lt;$C254,"",M$4*$G254))</f>
        <v/>
      </c>
      <c r="N254" s="19" t="str">
        <f>IF(2026-N$3&gt;IF($D254="",2026,$D254),IF(N$3=12,0.1*$G254,""),IF(2026-N$4&lt;$C254,"",N$4*$G254))</f>
        <v/>
      </c>
      <c r="O254" s="19" t="str">
        <f>IF(2026-O$3&gt;IF($D254="",2026,$D254),IF(O$3=12,0.1*$G254,""),IF(2026-O$4&lt;$C254,"",O$4*$G254))</f>
        <v/>
      </c>
      <c r="P254" s="19" t="str">
        <f>IF(2026-P$3&gt;IF($D254="",2026,$D254),IF(P$3=12,0.1*$G254,""),IF(2026-P$4&lt;$C254,"",P$4*$G254))</f>
        <v/>
      </c>
      <c r="Q254" s="19" t="str">
        <f>IF(2026-Q$3&gt;IF($D254="",2026,$D254),IF(Q$3=12,0.1*$G254,""),IF(2026-Q$4&lt;$C254,"",Q$4*$G254))</f>
        <v/>
      </c>
      <c r="R254" s="19" t="str">
        <f>IF(2026-R$3&gt;IF($D254="",2026,$D254),IF(R$3=12,0.1*$G254,""),IF(2026-R$4&lt;$C254,"",R$4*$G254))</f>
        <v/>
      </c>
      <c r="S254" s="19" t="str">
        <f>IF(2026-S$3&gt;IF($D254="",2026,$D254),IF(S$3=12,0.1*$G254,""),IF(2026-S$4&lt;$C254,"",S$4*$G254))</f>
        <v/>
      </c>
      <c r="T254" s="19" t="str">
        <f>IF(2026-T$3&gt;IF($D254="",2026,$D254),IF(T$3=12,0.1*$G254,""),IF(2026-T$4&lt;$C254,"",T$4*$G254))</f>
        <v/>
      </c>
    </row>
    <row r="255" spans="1:20" s="18" customFormat="1" ht="12" customHeight="1" x14ac:dyDescent="0.2">
      <c r="A255" s="17"/>
      <c r="B255" s="16" t="s">
        <v>176</v>
      </c>
      <c r="C255" s="13">
        <v>2007</v>
      </c>
      <c r="D255" s="13">
        <v>2010</v>
      </c>
      <c r="E255" s="13">
        <v>4806</v>
      </c>
      <c r="F255" s="13">
        <v>405</v>
      </c>
      <c r="G255" s="21">
        <v>72900</v>
      </c>
      <c r="H255" s="20"/>
      <c r="I255" s="19">
        <f>IF(2026-I$3&gt;IF($D255="",2026,$D255),IF(I$3=12,0.1*$G255,""),IF(2026-I$4&lt;$C255,"",I$4*$G255))</f>
        <v>7290</v>
      </c>
      <c r="J255" s="19" t="str">
        <f>IF(2026-J$3&gt;IF($D255="",2026,$D255),IF(J$3=12,0.1*$G255,""),IF(2026-J$4&lt;$C255,"",J$4*$G255))</f>
        <v/>
      </c>
      <c r="K255" s="19" t="str">
        <f>IF(2026-K$3&gt;IF($D255="",2026,$D255),IF(K$3=12,0.1*$G255,""),IF(2026-K$4&lt;$C255,"",K$4*$G255))</f>
        <v/>
      </c>
      <c r="L255" s="19" t="str">
        <f>IF(2026-L$3&gt;IF($D255="",2026,$D255),IF(L$3=12,0.1*$G255,""),IF(2026-L$4&lt;$C255,"",L$4*$G255))</f>
        <v/>
      </c>
      <c r="M255" s="19" t="str">
        <f>IF(2026-M$3&gt;IF($D255="",2026,$D255),IF(M$3=12,0.1*$G255,""),IF(2026-M$4&lt;$C255,"",M$4*$G255))</f>
        <v/>
      </c>
      <c r="N255" s="19" t="str">
        <f>IF(2026-N$3&gt;IF($D255="",2026,$D255),IF(N$3=12,0.1*$G255,""),IF(2026-N$4&lt;$C255,"",N$4*$G255))</f>
        <v/>
      </c>
      <c r="O255" s="19" t="str">
        <f>IF(2026-O$3&gt;IF($D255="",2026,$D255),IF(O$3=12,0.1*$G255,""),IF(2026-O$4&lt;$C255,"",O$4*$G255))</f>
        <v/>
      </c>
      <c r="P255" s="19" t="str">
        <f>IF(2026-P$3&gt;IF($D255="",2026,$D255),IF(P$3=12,0.1*$G255,""),IF(2026-P$4&lt;$C255,"",P$4*$G255))</f>
        <v/>
      </c>
      <c r="Q255" s="19" t="str">
        <f>IF(2026-Q$3&gt;IF($D255="",2026,$D255),IF(Q$3=12,0.1*$G255,""),IF(2026-Q$4&lt;$C255,"",Q$4*$G255))</f>
        <v/>
      </c>
      <c r="R255" s="19" t="str">
        <f>IF(2026-R$3&gt;IF($D255="",2026,$D255),IF(R$3=12,0.1*$G255,""),IF(2026-R$4&lt;$C255,"",R$4*$G255))</f>
        <v/>
      </c>
      <c r="S255" s="19" t="str">
        <f>IF(2026-S$3&gt;IF($D255="",2026,$D255),IF(S$3=12,0.1*$G255,""),IF(2026-S$4&lt;$C255,"",S$4*$G255))</f>
        <v/>
      </c>
      <c r="T255" s="19" t="str">
        <f>IF(2026-T$3&gt;IF($D255="",2026,$D255),IF(T$3=12,0.1*$G255,""),IF(2026-T$4&lt;$C255,"",T$4*$G255))</f>
        <v/>
      </c>
    </row>
    <row r="256" spans="1:20" s="18" customFormat="1" ht="12" customHeight="1" x14ac:dyDescent="0.2">
      <c r="A256" s="17"/>
      <c r="B256" s="16" t="s">
        <v>195</v>
      </c>
      <c r="C256" s="13">
        <v>2007</v>
      </c>
      <c r="D256" s="13">
        <v>2014</v>
      </c>
      <c r="E256" s="13">
        <v>4806</v>
      </c>
      <c r="F256" s="13">
        <v>500</v>
      </c>
      <c r="G256" s="21">
        <v>106500</v>
      </c>
      <c r="H256" s="20"/>
      <c r="I256" s="19">
        <f>IF(2026-I$3&gt;IF($D256="",2026,$D256),IF(I$3=12,0.1*$G256,""),IF(2026-I$4&lt;$C256,"",I$4*$G256))</f>
        <v>10650</v>
      </c>
      <c r="J256" s="19" t="str">
        <f>IF(2026-J$3&gt;IF($D256="",2026,$D256),IF(J$3=12,0.1*$G256,""),IF(2026-J$4&lt;$C256,"",J$4*$G256))</f>
        <v/>
      </c>
      <c r="K256" s="19" t="str">
        <f>IF(2026-K$3&gt;IF($D256="",2026,$D256),IF(K$3=12,0.1*$G256,""),IF(2026-K$4&lt;$C256,"",K$4*$G256))</f>
        <v/>
      </c>
      <c r="L256" s="19" t="str">
        <f>IF(2026-L$3&gt;IF($D256="",2026,$D256),IF(L$3=12,0.1*$G256,""),IF(2026-L$4&lt;$C256,"",L$4*$G256))</f>
        <v/>
      </c>
      <c r="M256" s="19" t="str">
        <f>IF(2026-M$3&gt;IF($D256="",2026,$D256),IF(M$3=12,0.1*$G256,""),IF(2026-M$4&lt;$C256,"",M$4*$G256))</f>
        <v/>
      </c>
      <c r="N256" s="19" t="str">
        <f>IF(2026-N$3&gt;IF($D256="",2026,$D256),IF(N$3=12,0.1*$G256,""),IF(2026-N$4&lt;$C256,"",N$4*$G256))</f>
        <v/>
      </c>
      <c r="O256" s="19" t="str">
        <f>IF(2026-O$3&gt;IF($D256="",2026,$D256),IF(O$3=12,0.1*$G256,""),IF(2026-O$4&lt;$C256,"",O$4*$G256))</f>
        <v/>
      </c>
      <c r="P256" s="19" t="str">
        <f>IF(2026-P$3&gt;IF($D256="",2026,$D256),IF(P$3=12,0.1*$G256,""),IF(2026-P$4&lt;$C256,"",P$4*$G256))</f>
        <v/>
      </c>
      <c r="Q256" s="19" t="str">
        <f>IF(2026-Q$3&gt;IF($D256="",2026,$D256),IF(Q$3=12,0.1*$G256,""),IF(2026-Q$4&lt;$C256,"",Q$4*$G256))</f>
        <v/>
      </c>
      <c r="R256" s="19" t="str">
        <f>IF(2026-R$3&gt;IF($D256="",2026,$D256),IF(R$3=12,0.1*$G256,""),IF(2026-R$4&lt;$C256,"",R$4*$G256))</f>
        <v/>
      </c>
      <c r="S256" s="19" t="str">
        <f>IF(2026-S$3&gt;IF($D256="",2026,$D256),IF(S$3=12,0.1*$G256,""),IF(2026-S$4&lt;$C256,"",S$4*$G256))</f>
        <v/>
      </c>
      <c r="T256" s="19" t="str">
        <f>IF(2026-T$3&gt;IF($D256="",2026,$D256),IF(T$3=12,0.1*$G256,""),IF(2026-T$4&lt;$C256,"",T$4*$G256))</f>
        <v/>
      </c>
    </row>
    <row r="257" spans="1:20" s="18" customFormat="1" ht="12" customHeight="1" x14ac:dyDescent="0.2">
      <c r="A257" s="17"/>
      <c r="B257" s="16" t="s">
        <v>175</v>
      </c>
      <c r="C257" s="13">
        <v>2007</v>
      </c>
      <c r="D257" s="13">
        <v>2014</v>
      </c>
      <c r="E257" s="13">
        <v>4806</v>
      </c>
      <c r="F257" s="13">
        <v>550</v>
      </c>
      <c r="G257" s="21">
        <v>144800</v>
      </c>
      <c r="H257" s="20"/>
      <c r="I257" s="19">
        <f>IF(2026-I$3&gt;IF($D257="",2026,$D257),IF(I$3=12,0.1*$G257,""),IF(2026-I$4&lt;$C257,"",I$4*$G257))</f>
        <v>14480</v>
      </c>
      <c r="J257" s="19" t="str">
        <f>IF(2026-J$3&gt;IF($D257="",2026,$D257),IF(J$3=12,0.1*$G257,""),IF(2026-J$4&lt;$C257,"",J$4*$G257))</f>
        <v/>
      </c>
      <c r="K257" s="19" t="str">
        <f>IF(2026-K$3&gt;IF($D257="",2026,$D257),IF(K$3=12,0.1*$G257,""),IF(2026-K$4&lt;$C257,"",K$4*$G257))</f>
        <v/>
      </c>
      <c r="L257" s="19" t="str">
        <f>IF(2026-L$3&gt;IF($D257="",2026,$D257),IF(L$3=12,0.1*$G257,""),IF(2026-L$4&lt;$C257,"",L$4*$G257))</f>
        <v/>
      </c>
      <c r="M257" s="19" t="str">
        <f>IF(2026-M$3&gt;IF($D257="",2026,$D257),IF(M$3=12,0.1*$G257,""),IF(2026-M$4&lt;$C257,"",M$4*$G257))</f>
        <v/>
      </c>
      <c r="N257" s="19" t="str">
        <f>IF(2026-N$3&gt;IF($D257="",2026,$D257),IF(N$3=12,0.1*$G257,""),IF(2026-N$4&lt;$C257,"",N$4*$G257))</f>
        <v/>
      </c>
      <c r="O257" s="19" t="str">
        <f>IF(2026-O$3&gt;IF($D257="",2026,$D257),IF(O$3=12,0.1*$G257,""),IF(2026-O$4&lt;$C257,"",O$4*$G257))</f>
        <v/>
      </c>
      <c r="P257" s="19" t="str">
        <f>IF(2026-P$3&gt;IF($D257="",2026,$D257),IF(P$3=12,0.1*$G257,""),IF(2026-P$4&lt;$C257,"",P$4*$G257))</f>
        <v/>
      </c>
      <c r="Q257" s="19" t="str">
        <f>IF(2026-Q$3&gt;IF($D257="",2026,$D257),IF(Q$3=12,0.1*$G257,""),IF(2026-Q$4&lt;$C257,"",Q$4*$G257))</f>
        <v/>
      </c>
      <c r="R257" s="19" t="str">
        <f>IF(2026-R$3&gt;IF($D257="",2026,$D257),IF(R$3=12,0.1*$G257,""),IF(2026-R$4&lt;$C257,"",R$4*$G257))</f>
        <v/>
      </c>
      <c r="S257" s="19" t="str">
        <f>IF(2026-S$3&gt;IF($D257="",2026,$D257),IF(S$3=12,0.1*$G257,""),IF(2026-S$4&lt;$C257,"",S$4*$G257))</f>
        <v/>
      </c>
      <c r="T257" s="19" t="str">
        <f>IF(2026-T$3&gt;IF($D257="",2026,$D257),IF(T$3=12,0.1*$G257,""),IF(2026-T$4&lt;$C257,"",T$4*$G257))</f>
        <v/>
      </c>
    </row>
    <row r="258" spans="1:20" s="18" customFormat="1" ht="12" customHeight="1" x14ac:dyDescent="0.2">
      <c r="A258" s="17"/>
      <c r="B258" s="16" t="s">
        <v>194</v>
      </c>
      <c r="C258" s="13">
        <v>2009</v>
      </c>
      <c r="D258" s="13">
        <v>2010</v>
      </c>
      <c r="E258" s="13">
        <v>4806</v>
      </c>
      <c r="F258" s="13">
        <v>385</v>
      </c>
      <c r="G258" s="21">
        <v>72200</v>
      </c>
      <c r="H258" s="20"/>
      <c r="I258" s="19">
        <f>IF(2026-I$3&gt;IF($D258="",2026,$D258),IF(I$3=12,0.1*$G258,""),IF(2026-I$4&lt;$C258,"",I$4*$G258))</f>
        <v>7220</v>
      </c>
      <c r="J258" s="19" t="str">
        <f>IF(2026-J$3&gt;IF($D258="",2026,$D258),IF(J$3=12,0.1*$G258,""),IF(2026-J$4&lt;$C258,"",J$4*$G258))</f>
        <v/>
      </c>
      <c r="K258" s="19" t="str">
        <f>IF(2026-K$3&gt;IF($D258="",2026,$D258),IF(K$3=12,0.1*$G258,""),IF(2026-K$4&lt;$C258,"",K$4*$G258))</f>
        <v/>
      </c>
      <c r="L258" s="19" t="str">
        <f>IF(2026-L$3&gt;IF($D258="",2026,$D258),IF(L$3=12,0.1*$G258,""),IF(2026-L$4&lt;$C258,"",L$4*$G258))</f>
        <v/>
      </c>
      <c r="M258" s="19" t="str">
        <f>IF(2026-M$3&gt;IF($D258="",2026,$D258),IF(M$3=12,0.1*$G258,""),IF(2026-M$4&lt;$C258,"",M$4*$G258))</f>
        <v/>
      </c>
      <c r="N258" s="19" t="str">
        <f>IF(2026-N$3&gt;IF($D258="",2026,$D258),IF(N$3=12,0.1*$G258,""),IF(2026-N$4&lt;$C258,"",N$4*$G258))</f>
        <v/>
      </c>
      <c r="O258" s="19" t="str">
        <f>IF(2026-O$3&gt;IF($D258="",2026,$D258),IF(O$3=12,0.1*$G258,""),IF(2026-O$4&lt;$C258,"",O$4*$G258))</f>
        <v/>
      </c>
      <c r="P258" s="19" t="str">
        <f>IF(2026-P$3&gt;IF($D258="",2026,$D258),IF(P$3=12,0.1*$G258,""),IF(2026-P$4&lt;$C258,"",P$4*$G258))</f>
        <v/>
      </c>
      <c r="Q258" s="19" t="str">
        <f>IF(2026-Q$3&gt;IF($D258="",2026,$D258),IF(Q$3=12,0.1*$G258,""),IF(2026-Q$4&lt;$C258,"",Q$4*$G258))</f>
        <v/>
      </c>
      <c r="R258" s="19" t="str">
        <f>IF(2026-R$3&gt;IF($D258="",2026,$D258),IF(R$3=12,0.1*$G258,""),IF(2026-R$4&lt;$C258,"",R$4*$G258))</f>
        <v/>
      </c>
      <c r="S258" s="19" t="str">
        <f>IF(2026-S$3&gt;IF($D258="",2026,$D258),IF(S$3=12,0.1*$G258,""),IF(2026-S$4&lt;$C258,"",S$4*$G258))</f>
        <v/>
      </c>
      <c r="T258" s="19" t="str">
        <f>IF(2026-T$3&gt;IF($D258="",2026,$D258),IF(T$3=12,0.1*$G258,""),IF(2026-T$4&lt;$C258,"",T$4*$G258))</f>
        <v/>
      </c>
    </row>
    <row r="259" spans="1:20" s="18" customFormat="1" ht="12" customHeight="1" x14ac:dyDescent="0.2">
      <c r="A259" s="17"/>
      <c r="B259" s="16" t="s">
        <v>193</v>
      </c>
      <c r="C259" s="13">
        <v>2009</v>
      </c>
      <c r="D259" s="13">
        <v>2010</v>
      </c>
      <c r="E259" s="13">
        <v>4806</v>
      </c>
      <c r="F259" s="13">
        <v>405</v>
      </c>
      <c r="G259" s="21">
        <v>87500</v>
      </c>
      <c r="H259" s="20"/>
      <c r="I259" s="19">
        <f>IF(2026-I$3&gt;IF($D259="",2026,$D259),IF(I$3=12,0.1*$G259,""),IF(2026-I$4&lt;$C259,"",I$4*$G259))</f>
        <v>8750</v>
      </c>
      <c r="J259" s="19" t="str">
        <f>IF(2026-J$3&gt;IF($D259="",2026,$D259),IF(J$3=12,0.1*$G259,""),IF(2026-J$4&lt;$C259,"",J$4*$G259))</f>
        <v/>
      </c>
      <c r="K259" s="19" t="str">
        <f>IF(2026-K$3&gt;IF($D259="",2026,$D259),IF(K$3=12,0.1*$G259,""),IF(2026-K$4&lt;$C259,"",K$4*$G259))</f>
        <v/>
      </c>
      <c r="L259" s="19" t="str">
        <f>IF(2026-L$3&gt;IF($D259="",2026,$D259),IF(L$3=12,0.1*$G259,""),IF(2026-L$4&lt;$C259,"",L$4*$G259))</f>
        <v/>
      </c>
      <c r="M259" s="19" t="str">
        <f>IF(2026-M$3&gt;IF($D259="",2026,$D259),IF(M$3=12,0.1*$G259,""),IF(2026-M$4&lt;$C259,"",M$4*$G259))</f>
        <v/>
      </c>
      <c r="N259" s="19" t="str">
        <f>IF(2026-N$3&gt;IF($D259="",2026,$D259),IF(N$3=12,0.1*$G259,""),IF(2026-N$4&lt;$C259,"",N$4*$G259))</f>
        <v/>
      </c>
      <c r="O259" s="19" t="str">
        <f>IF(2026-O$3&gt;IF($D259="",2026,$D259),IF(O$3=12,0.1*$G259,""),IF(2026-O$4&lt;$C259,"",O$4*$G259))</f>
        <v/>
      </c>
      <c r="P259" s="19" t="str">
        <f>IF(2026-P$3&gt;IF($D259="",2026,$D259),IF(P$3=12,0.1*$G259,""),IF(2026-P$4&lt;$C259,"",P$4*$G259))</f>
        <v/>
      </c>
      <c r="Q259" s="19" t="str">
        <f>IF(2026-Q$3&gt;IF($D259="",2026,$D259),IF(Q$3=12,0.1*$G259,""),IF(2026-Q$4&lt;$C259,"",Q$4*$G259))</f>
        <v/>
      </c>
      <c r="R259" s="19" t="str">
        <f>IF(2026-R$3&gt;IF($D259="",2026,$D259),IF(R$3=12,0.1*$G259,""),IF(2026-R$4&lt;$C259,"",R$4*$G259))</f>
        <v/>
      </c>
      <c r="S259" s="19" t="str">
        <f>IF(2026-S$3&gt;IF($D259="",2026,$D259),IF(S$3=12,0.1*$G259,""),IF(2026-S$4&lt;$C259,"",S$4*$G259))</f>
        <v/>
      </c>
      <c r="T259" s="19" t="str">
        <f>IF(2026-T$3&gt;IF($D259="",2026,$D259),IF(T$3=12,0.1*$G259,""),IF(2026-T$4&lt;$C259,"",T$4*$G259))</f>
        <v/>
      </c>
    </row>
    <row r="260" spans="1:20" s="18" customFormat="1" ht="12" customHeight="1" x14ac:dyDescent="0.2">
      <c r="A260" s="17"/>
      <c r="B260" s="16" t="s">
        <v>192</v>
      </c>
      <c r="C260" s="13">
        <v>2010</v>
      </c>
      <c r="D260" s="13">
        <v>2014</v>
      </c>
      <c r="E260" s="13">
        <v>2967</v>
      </c>
      <c r="F260" s="13">
        <v>240</v>
      </c>
      <c r="G260" s="21">
        <v>53500</v>
      </c>
      <c r="H260" s="20"/>
      <c r="I260" s="19">
        <f>IF(2026-I$3&gt;IF($D260="",2026,$D260),IF(I$3=12,0.1*$G260,""),IF(2026-I$4&lt;$C260,"",I$4*$G260))</f>
        <v>5350</v>
      </c>
      <c r="J260" s="19" t="str">
        <f>IF(2026-J$3&gt;IF($D260="",2026,$D260),IF(J$3=12,0.1*$G260,""),IF(2026-J$4&lt;$C260,"",J$4*$G260))</f>
        <v/>
      </c>
      <c r="K260" s="19" t="str">
        <f>IF(2026-K$3&gt;IF($D260="",2026,$D260),IF(K$3=12,0.1*$G260,""),IF(2026-K$4&lt;$C260,"",K$4*$G260))</f>
        <v/>
      </c>
      <c r="L260" s="19" t="str">
        <f>IF(2026-L$3&gt;IF($D260="",2026,$D260),IF(L$3=12,0.1*$G260,""),IF(2026-L$4&lt;$C260,"",L$4*$G260))</f>
        <v/>
      </c>
      <c r="M260" s="19" t="str">
        <f>IF(2026-M$3&gt;IF($D260="",2026,$D260),IF(M$3=12,0.1*$G260,""),IF(2026-M$4&lt;$C260,"",M$4*$G260))</f>
        <v/>
      </c>
      <c r="N260" s="19" t="str">
        <f>IF(2026-N$3&gt;IF($D260="",2026,$D260),IF(N$3=12,0.1*$G260,""),IF(2026-N$4&lt;$C260,"",N$4*$G260))</f>
        <v/>
      </c>
      <c r="O260" s="19" t="str">
        <f>IF(2026-O$3&gt;IF($D260="",2026,$D260),IF(O$3=12,0.1*$G260,""),IF(2026-O$4&lt;$C260,"",O$4*$G260))</f>
        <v/>
      </c>
      <c r="P260" s="19" t="str">
        <f>IF(2026-P$3&gt;IF($D260="",2026,$D260),IF(P$3=12,0.1*$G260,""),IF(2026-P$4&lt;$C260,"",P$4*$G260))</f>
        <v/>
      </c>
      <c r="Q260" s="19" t="str">
        <f>IF(2026-Q$3&gt;IF($D260="",2026,$D260),IF(Q$3=12,0.1*$G260,""),IF(2026-Q$4&lt;$C260,"",Q$4*$G260))</f>
        <v/>
      </c>
      <c r="R260" s="19" t="str">
        <f>IF(2026-R$3&gt;IF($D260="",2026,$D260),IF(R$3=12,0.1*$G260,""),IF(2026-R$4&lt;$C260,"",R$4*$G260))</f>
        <v/>
      </c>
      <c r="S260" s="19" t="str">
        <f>IF(2026-S$3&gt;IF($D260="",2026,$D260),IF(S$3=12,0.1*$G260,""),IF(2026-S$4&lt;$C260,"",S$4*$G260))</f>
        <v/>
      </c>
      <c r="T260" s="19" t="str">
        <f>IF(2026-T$3&gt;IF($D260="",2026,$D260),IF(T$3=12,0.1*$G260,""),IF(2026-T$4&lt;$C260,"",T$4*$G260))</f>
        <v/>
      </c>
    </row>
    <row r="261" spans="1:20" s="18" customFormat="1" ht="12" customHeight="1" x14ac:dyDescent="0.2">
      <c r="A261" s="17"/>
      <c r="B261" s="16" t="s">
        <v>192</v>
      </c>
      <c r="C261" s="13">
        <v>2010</v>
      </c>
      <c r="D261" s="13">
        <v>2014</v>
      </c>
      <c r="E261" s="13">
        <v>2967</v>
      </c>
      <c r="F261" s="13">
        <v>245</v>
      </c>
      <c r="G261" s="21">
        <v>56000</v>
      </c>
      <c r="H261" s="20"/>
      <c r="I261" s="19">
        <f>IF(2026-I$3&gt;IF($D261="",2026,$D261),IF(I$3=12,0.1*$G261,""),IF(2026-I$4&lt;$C261,"",I$4*$G261))</f>
        <v>5600</v>
      </c>
      <c r="J261" s="19" t="str">
        <f>IF(2026-J$3&gt;IF($D261="",2026,$D261),IF(J$3=12,0.1*$G261,""),IF(2026-J$4&lt;$C261,"",J$4*$G261))</f>
        <v/>
      </c>
      <c r="K261" s="19" t="str">
        <f>IF(2026-K$3&gt;IF($D261="",2026,$D261),IF(K$3=12,0.1*$G261,""),IF(2026-K$4&lt;$C261,"",K$4*$G261))</f>
        <v/>
      </c>
      <c r="L261" s="19" t="str">
        <f>IF(2026-L$3&gt;IF($D261="",2026,$D261),IF(L$3=12,0.1*$G261,""),IF(2026-L$4&lt;$C261,"",L$4*$G261))</f>
        <v/>
      </c>
      <c r="M261" s="19" t="str">
        <f>IF(2026-M$3&gt;IF($D261="",2026,$D261),IF(M$3=12,0.1*$G261,""),IF(2026-M$4&lt;$C261,"",M$4*$G261))</f>
        <v/>
      </c>
      <c r="N261" s="19" t="str">
        <f>IF(2026-N$3&gt;IF($D261="",2026,$D261),IF(N$3=12,0.1*$G261,""),IF(2026-N$4&lt;$C261,"",N$4*$G261))</f>
        <v/>
      </c>
      <c r="O261" s="19" t="str">
        <f>IF(2026-O$3&gt;IF($D261="",2026,$D261),IF(O$3=12,0.1*$G261,""),IF(2026-O$4&lt;$C261,"",O$4*$G261))</f>
        <v/>
      </c>
      <c r="P261" s="19" t="str">
        <f>IF(2026-P$3&gt;IF($D261="",2026,$D261),IF(P$3=12,0.1*$G261,""),IF(2026-P$4&lt;$C261,"",P$4*$G261))</f>
        <v/>
      </c>
      <c r="Q261" s="19" t="str">
        <f>IF(2026-Q$3&gt;IF($D261="",2026,$D261),IF(Q$3=12,0.1*$G261,""),IF(2026-Q$4&lt;$C261,"",Q$4*$G261))</f>
        <v/>
      </c>
      <c r="R261" s="19" t="str">
        <f>IF(2026-R$3&gt;IF($D261="",2026,$D261),IF(R$3=12,0.1*$G261,""),IF(2026-R$4&lt;$C261,"",R$4*$G261))</f>
        <v/>
      </c>
      <c r="S261" s="19" t="str">
        <f>IF(2026-S$3&gt;IF($D261="",2026,$D261),IF(S$3=12,0.1*$G261,""),IF(2026-S$4&lt;$C261,"",S$4*$G261))</f>
        <v/>
      </c>
      <c r="T261" s="19" t="str">
        <f>IF(2026-T$3&gt;IF($D261="",2026,$D261),IF(T$3=12,0.1*$G261,""),IF(2026-T$4&lt;$C261,"",T$4*$G261))</f>
        <v/>
      </c>
    </row>
    <row r="262" spans="1:20" s="18" customFormat="1" ht="12" customHeight="1" x14ac:dyDescent="0.2">
      <c r="A262" s="17"/>
      <c r="B262" s="16" t="s">
        <v>191</v>
      </c>
      <c r="C262" s="13">
        <v>2010</v>
      </c>
      <c r="D262" s="13">
        <v>2014</v>
      </c>
      <c r="E262" s="13">
        <v>2967</v>
      </c>
      <c r="F262" s="13">
        <v>245</v>
      </c>
      <c r="G262" s="21">
        <v>62600</v>
      </c>
      <c r="H262" s="20"/>
      <c r="I262" s="19">
        <f>IF(2026-I$3&gt;IF($D262="",2026,$D262),IF(I$3=12,0.1*$G262,""),IF(2026-I$4&lt;$C262,"",I$4*$G262))</f>
        <v>6260</v>
      </c>
      <c r="J262" s="19" t="str">
        <f>IF(2026-J$3&gt;IF($D262="",2026,$D262),IF(J$3=12,0.1*$G262,""),IF(2026-J$4&lt;$C262,"",J$4*$G262))</f>
        <v/>
      </c>
      <c r="K262" s="19" t="str">
        <f>IF(2026-K$3&gt;IF($D262="",2026,$D262),IF(K$3=12,0.1*$G262,""),IF(2026-K$4&lt;$C262,"",K$4*$G262))</f>
        <v/>
      </c>
      <c r="L262" s="19" t="str">
        <f>IF(2026-L$3&gt;IF($D262="",2026,$D262),IF(L$3=12,0.1*$G262,""),IF(2026-L$4&lt;$C262,"",L$4*$G262))</f>
        <v/>
      </c>
      <c r="M262" s="19" t="str">
        <f>IF(2026-M$3&gt;IF($D262="",2026,$D262),IF(M$3=12,0.1*$G262,""),IF(2026-M$4&lt;$C262,"",M$4*$G262))</f>
        <v/>
      </c>
      <c r="N262" s="19" t="str">
        <f>IF(2026-N$3&gt;IF($D262="",2026,$D262),IF(N$3=12,0.1*$G262,""),IF(2026-N$4&lt;$C262,"",N$4*$G262))</f>
        <v/>
      </c>
      <c r="O262" s="19" t="str">
        <f>IF(2026-O$3&gt;IF($D262="",2026,$D262),IF(O$3=12,0.1*$G262,""),IF(2026-O$4&lt;$C262,"",O$4*$G262))</f>
        <v/>
      </c>
      <c r="P262" s="19" t="str">
        <f>IF(2026-P$3&gt;IF($D262="",2026,$D262),IF(P$3=12,0.1*$G262,""),IF(2026-P$4&lt;$C262,"",P$4*$G262))</f>
        <v/>
      </c>
      <c r="Q262" s="19" t="str">
        <f>IF(2026-Q$3&gt;IF($D262="",2026,$D262),IF(Q$3=12,0.1*$G262,""),IF(2026-Q$4&lt;$C262,"",Q$4*$G262))</f>
        <v/>
      </c>
      <c r="R262" s="19" t="str">
        <f>IF(2026-R$3&gt;IF($D262="",2026,$D262),IF(R$3=12,0.1*$G262,""),IF(2026-R$4&lt;$C262,"",R$4*$G262))</f>
        <v/>
      </c>
      <c r="S262" s="19" t="str">
        <f>IF(2026-S$3&gt;IF($D262="",2026,$D262),IF(S$3=12,0.1*$G262,""),IF(2026-S$4&lt;$C262,"",S$4*$G262))</f>
        <v/>
      </c>
      <c r="T262" s="19" t="str">
        <f>IF(2026-T$3&gt;IF($D262="",2026,$D262),IF(T$3=12,0.1*$G262,""),IF(2026-T$4&lt;$C262,"",T$4*$G262))</f>
        <v/>
      </c>
    </row>
    <row r="263" spans="1:20" s="18" customFormat="1" ht="12" customHeight="1" x14ac:dyDescent="0.2">
      <c r="A263" s="17"/>
      <c r="B263" s="16" t="s">
        <v>190</v>
      </c>
      <c r="C263" s="13">
        <v>2010</v>
      </c>
      <c r="D263" s="13">
        <v>2014</v>
      </c>
      <c r="E263" s="13">
        <v>3598</v>
      </c>
      <c r="F263" s="13">
        <v>300</v>
      </c>
      <c r="G263" s="21">
        <v>58200</v>
      </c>
      <c r="H263" s="20"/>
      <c r="I263" s="19">
        <f>IF(2026-I$3&gt;IF($D263="",2026,$D263),IF(I$3=12,0.1*$G263,""),IF(2026-I$4&lt;$C263,"",I$4*$G263))</f>
        <v>5820</v>
      </c>
      <c r="J263" s="19" t="str">
        <f>IF(2026-J$3&gt;IF($D263="",2026,$D263),IF(J$3=12,0.1*$G263,""),IF(2026-J$4&lt;$C263,"",J$4*$G263))</f>
        <v/>
      </c>
      <c r="K263" s="19" t="str">
        <f>IF(2026-K$3&gt;IF($D263="",2026,$D263),IF(K$3=12,0.1*$G263,""),IF(2026-K$4&lt;$C263,"",K$4*$G263))</f>
        <v/>
      </c>
      <c r="L263" s="19" t="str">
        <f>IF(2026-L$3&gt;IF($D263="",2026,$D263),IF(L$3=12,0.1*$G263,""),IF(2026-L$4&lt;$C263,"",L$4*$G263))</f>
        <v/>
      </c>
      <c r="M263" s="19" t="str">
        <f>IF(2026-M$3&gt;IF($D263="",2026,$D263),IF(M$3=12,0.1*$G263,""),IF(2026-M$4&lt;$C263,"",M$4*$G263))</f>
        <v/>
      </c>
      <c r="N263" s="19" t="str">
        <f>IF(2026-N$3&gt;IF($D263="",2026,$D263),IF(N$3=12,0.1*$G263,""),IF(2026-N$4&lt;$C263,"",N$4*$G263))</f>
        <v/>
      </c>
      <c r="O263" s="19" t="str">
        <f>IF(2026-O$3&gt;IF($D263="",2026,$D263),IF(O$3=12,0.1*$G263,""),IF(2026-O$4&lt;$C263,"",O$4*$G263))</f>
        <v/>
      </c>
      <c r="P263" s="19" t="str">
        <f>IF(2026-P$3&gt;IF($D263="",2026,$D263),IF(P$3=12,0.1*$G263,""),IF(2026-P$4&lt;$C263,"",P$4*$G263))</f>
        <v/>
      </c>
      <c r="Q263" s="19" t="str">
        <f>IF(2026-Q$3&gt;IF($D263="",2026,$D263),IF(Q$3=12,0.1*$G263,""),IF(2026-Q$4&lt;$C263,"",Q$4*$G263))</f>
        <v/>
      </c>
      <c r="R263" s="19" t="str">
        <f>IF(2026-R$3&gt;IF($D263="",2026,$D263),IF(R$3=12,0.1*$G263,""),IF(2026-R$4&lt;$C263,"",R$4*$G263))</f>
        <v/>
      </c>
      <c r="S263" s="19" t="str">
        <f>IF(2026-S$3&gt;IF($D263="",2026,$D263),IF(S$3=12,0.1*$G263,""),IF(2026-S$4&lt;$C263,"",S$4*$G263))</f>
        <v/>
      </c>
      <c r="T263" s="19" t="str">
        <f>IF(2026-T$3&gt;IF($D263="",2026,$D263),IF(T$3=12,0.1*$G263,""),IF(2026-T$4&lt;$C263,"",T$4*$G263))</f>
        <v/>
      </c>
    </row>
    <row r="264" spans="1:20" s="18" customFormat="1" ht="12" customHeight="1" x14ac:dyDescent="0.2">
      <c r="A264" s="17"/>
      <c r="B264" s="16" t="s">
        <v>189</v>
      </c>
      <c r="C264" s="13">
        <v>2010</v>
      </c>
      <c r="D264" s="13">
        <v>2014</v>
      </c>
      <c r="E264" s="13">
        <v>3598</v>
      </c>
      <c r="F264" s="13">
        <v>300</v>
      </c>
      <c r="G264" s="21">
        <v>51800</v>
      </c>
      <c r="H264" s="20"/>
      <c r="I264" s="19">
        <f>IF(2026-I$3&gt;IF($D264="",2026,$D264),IF(I$3=12,0.1*$G264,""),IF(2026-I$4&lt;$C264,"",I$4*$G264))</f>
        <v>5180</v>
      </c>
      <c r="J264" s="19" t="str">
        <f>IF(2026-J$3&gt;IF($D264="",2026,$D264),IF(J$3=12,0.1*$G264,""),IF(2026-J$4&lt;$C264,"",J$4*$G264))</f>
        <v/>
      </c>
      <c r="K264" s="19" t="str">
        <f>IF(2026-K$3&gt;IF($D264="",2026,$D264),IF(K$3=12,0.1*$G264,""),IF(2026-K$4&lt;$C264,"",K$4*$G264))</f>
        <v/>
      </c>
      <c r="L264" s="19" t="str">
        <f>IF(2026-L$3&gt;IF($D264="",2026,$D264),IF(L$3=12,0.1*$G264,""),IF(2026-L$4&lt;$C264,"",L$4*$G264))</f>
        <v/>
      </c>
      <c r="M264" s="19" t="str">
        <f>IF(2026-M$3&gt;IF($D264="",2026,$D264),IF(M$3=12,0.1*$G264,""),IF(2026-M$4&lt;$C264,"",M$4*$G264))</f>
        <v/>
      </c>
      <c r="N264" s="19" t="str">
        <f>IF(2026-N$3&gt;IF($D264="",2026,$D264),IF(N$3=12,0.1*$G264,""),IF(2026-N$4&lt;$C264,"",N$4*$G264))</f>
        <v/>
      </c>
      <c r="O264" s="19" t="str">
        <f>IF(2026-O$3&gt;IF($D264="",2026,$D264),IF(O$3=12,0.1*$G264,""),IF(2026-O$4&lt;$C264,"",O$4*$G264))</f>
        <v/>
      </c>
      <c r="P264" s="19" t="str">
        <f>IF(2026-P$3&gt;IF($D264="",2026,$D264),IF(P$3=12,0.1*$G264,""),IF(2026-P$4&lt;$C264,"",P$4*$G264))</f>
        <v/>
      </c>
      <c r="Q264" s="19" t="str">
        <f>IF(2026-Q$3&gt;IF($D264="",2026,$D264),IF(Q$3=12,0.1*$G264,""),IF(2026-Q$4&lt;$C264,"",Q$4*$G264))</f>
        <v/>
      </c>
      <c r="R264" s="19" t="str">
        <f>IF(2026-R$3&gt;IF($D264="",2026,$D264),IF(R$3=12,0.1*$G264,""),IF(2026-R$4&lt;$C264,"",R$4*$G264))</f>
        <v/>
      </c>
      <c r="S264" s="19" t="str">
        <f>IF(2026-S$3&gt;IF($D264="",2026,$D264),IF(S$3=12,0.1*$G264,""),IF(2026-S$4&lt;$C264,"",S$4*$G264))</f>
        <v/>
      </c>
      <c r="T264" s="19" t="str">
        <f>IF(2026-T$3&gt;IF($D264="",2026,$D264),IF(T$3=12,0.1*$G264,""),IF(2026-T$4&lt;$C264,"",T$4*$G264))</f>
        <v/>
      </c>
    </row>
    <row r="265" spans="1:20" s="18" customFormat="1" ht="12" customHeight="1" x14ac:dyDescent="0.2">
      <c r="A265" s="17"/>
      <c r="B265" s="16" t="s">
        <v>188</v>
      </c>
      <c r="C265" s="13">
        <v>2010</v>
      </c>
      <c r="D265" s="13">
        <v>2014</v>
      </c>
      <c r="E265" s="13">
        <v>3598</v>
      </c>
      <c r="F265" s="13">
        <v>300</v>
      </c>
      <c r="G265" s="21">
        <v>64100</v>
      </c>
      <c r="H265" s="20"/>
      <c r="I265" s="19">
        <f>IF(2026-I$3&gt;IF($D265="",2026,$D265),IF(I$3=12,0.1*$G265,""),IF(2026-I$4&lt;$C265,"",I$4*$G265))</f>
        <v>6410</v>
      </c>
      <c r="J265" s="19" t="str">
        <f>IF(2026-J$3&gt;IF($D265="",2026,$D265),IF(J$3=12,0.1*$G265,""),IF(2026-J$4&lt;$C265,"",J$4*$G265))</f>
        <v/>
      </c>
      <c r="K265" s="19" t="str">
        <f>IF(2026-K$3&gt;IF($D265="",2026,$D265),IF(K$3=12,0.1*$G265,""),IF(2026-K$4&lt;$C265,"",K$4*$G265))</f>
        <v/>
      </c>
      <c r="L265" s="19" t="str">
        <f>IF(2026-L$3&gt;IF($D265="",2026,$D265),IF(L$3=12,0.1*$G265,""),IF(2026-L$4&lt;$C265,"",L$4*$G265))</f>
        <v/>
      </c>
      <c r="M265" s="19" t="str">
        <f>IF(2026-M$3&gt;IF($D265="",2026,$D265),IF(M$3=12,0.1*$G265,""),IF(2026-M$4&lt;$C265,"",M$4*$G265))</f>
        <v/>
      </c>
      <c r="N265" s="19" t="str">
        <f>IF(2026-N$3&gt;IF($D265="",2026,$D265),IF(N$3=12,0.1*$G265,""),IF(2026-N$4&lt;$C265,"",N$4*$G265))</f>
        <v/>
      </c>
      <c r="O265" s="19" t="str">
        <f>IF(2026-O$3&gt;IF($D265="",2026,$D265),IF(O$3=12,0.1*$G265,""),IF(2026-O$4&lt;$C265,"",O$4*$G265))</f>
        <v/>
      </c>
      <c r="P265" s="19" t="str">
        <f>IF(2026-P$3&gt;IF($D265="",2026,$D265),IF(P$3=12,0.1*$G265,""),IF(2026-P$4&lt;$C265,"",P$4*$G265))</f>
        <v/>
      </c>
      <c r="Q265" s="19" t="str">
        <f>IF(2026-Q$3&gt;IF($D265="",2026,$D265),IF(Q$3=12,0.1*$G265,""),IF(2026-Q$4&lt;$C265,"",Q$4*$G265))</f>
        <v/>
      </c>
      <c r="R265" s="19" t="str">
        <f>IF(2026-R$3&gt;IF($D265="",2026,$D265),IF(R$3=12,0.1*$G265,""),IF(2026-R$4&lt;$C265,"",R$4*$G265))</f>
        <v/>
      </c>
      <c r="S265" s="19" t="str">
        <f>IF(2026-S$3&gt;IF($D265="",2026,$D265),IF(S$3=12,0.1*$G265,""),IF(2026-S$4&lt;$C265,"",S$4*$G265))</f>
        <v/>
      </c>
      <c r="T265" s="19" t="str">
        <f>IF(2026-T$3&gt;IF($D265="",2026,$D265),IF(T$3=12,0.1*$G265,""),IF(2026-T$4&lt;$C265,"",T$4*$G265))</f>
        <v/>
      </c>
    </row>
    <row r="266" spans="1:20" s="18" customFormat="1" ht="12" customHeight="1" x14ac:dyDescent="0.2">
      <c r="A266" s="17"/>
      <c r="B266" s="16" t="s">
        <v>187</v>
      </c>
      <c r="C266" s="13">
        <v>2010</v>
      </c>
      <c r="D266" s="13">
        <v>2014</v>
      </c>
      <c r="E266" s="13">
        <v>3598</v>
      </c>
      <c r="F266" s="13">
        <v>300</v>
      </c>
      <c r="G266" s="21">
        <v>65300</v>
      </c>
      <c r="H266" s="20"/>
      <c r="I266" s="19">
        <f>IF(2026-I$3&gt;IF($D266="",2026,$D266),IF(I$3=12,0.1*$G266,""),IF(2026-I$4&lt;$C266,"",I$4*$G266))</f>
        <v>6530</v>
      </c>
      <c r="J266" s="19" t="str">
        <f>IF(2026-J$3&gt;IF($D266="",2026,$D266),IF(J$3=12,0.1*$G266,""),IF(2026-J$4&lt;$C266,"",J$4*$G266))</f>
        <v/>
      </c>
      <c r="K266" s="19" t="str">
        <f>IF(2026-K$3&gt;IF($D266="",2026,$D266),IF(K$3=12,0.1*$G266,""),IF(2026-K$4&lt;$C266,"",K$4*$G266))</f>
        <v/>
      </c>
      <c r="L266" s="19" t="str">
        <f>IF(2026-L$3&gt;IF($D266="",2026,$D266),IF(L$3=12,0.1*$G266,""),IF(2026-L$4&lt;$C266,"",L$4*$G266))</f>
        <v/>
      </c>
      <c r="M266" s="19" t="str">
        <f>IF(2026-M$3&gt;IF($D266="",2026,$D266),IF(M$3=12,0.1*$G266,""),IF(2026-M$4&lt;$C266,"",M$4*$G266))</f>
        <v/>
      </c>
      <c r="N266" s="19" t="str">
        <f>IF(2026-N$3&gt;IF($D266="",2026,$D266),IF(N$3=12,0.1*$G266,""),IF(2026-N$4&lt;$C266,"",N$4*$G266))</f>
        <v/>
      </c>
      <c r="O266" s="19" t="str">
        <f>IF(2026-O$3&gt;IF($D266="",2026,$D266),IF(O$3=12,0.1*$G266,""),IF(2026-O$4&lt;$C266,"",O$4*$G266))</f>
        <v/>
      </c>
      <c r="P266" s="19" t="str">
        <f>IF(2026-P$3&gt;IF($D266="",2026,$D266),IF(P$3=12,0.1*$G266,""),IF(2026-P$4&lt;$C266,"",P$4*$G266))</f>
        <v/>
      </c>
      <c r="Q266" s="19" t="str">
        <f>IF(2026-Q$3&gt;IF($D266="",2026,$D266),IF(Q$3=12,0.1*$G266,""),IF(2026-Q$4&lt;$C266,"",Q$4*$G266))</f>
        <v/>
      </c>
      <c r="R266" s="19" t="str">
        <f>IF(2026-R$3&gt;IF($D266="",2026,$D266),IF(R$3=12,0.1*$G266,""),IF(2026-R$4&lt;$C266,"",R$4*$G266))</f>
        <v/>
      </c>
      <c r="S266" s="19" t="str">
        <f>IF(2026-S$3&gt;IF($D266="",2026,$D266),IF(S$3=12,0.1*$G266,""),IF(2026-S$4&lt;$C266,"",S$4*$G266))</f>
        <v/>
      </c>
      <c r="T266" s="19" t="str">
        <f>IF(2026-T$3&gt;IF($D266="",2026,$D266),IF(T$3=12,0.1*$G266,""),IF(2026-T$4&lt;$C266,"",T$4*$G266))</f>
        <v/>
      </c>
    </row>
    <row r="267" spans="1:20" s="18" customFormat="1" ht="12" customHeight="1" x14ac:dyDescent="0.2">
      <c r="A267" s="17"/>
      <c r="B267" s="16" t="s">
        <v>177</v>
      </c>
      <c r="C267" s="13">
        <v>2010</v>
      </c>
      <c r="D267" s="13">
        <v>2014</v>
      </c>
      <c r="E267" s="13">
        <v>2995</v>
      </c>
      <c r="F267" s="13">
        <v>380</v>
      </c>
      <c r="G267" s="21">
        <v>72300</v>
      </c>
      <c r="H267" s="20"/>
      <c r="I267" s="19">
        <f>IF(2026-I$3&gt;IF($D267="",2026,$D267),IF(I$3=12,0.1*$G267,""),IF(2026-I$4&lt;$C267,"",I$4*$G267))</f>
        <v>7230</v>
      </c>
      <c r="J267" s="19" t="str">
        <f>IF(2026-J$3&gt;IF($D267="",2026,$D267),IF(J$3=12,0.1*$G267,""),IF(2026-J$4&lt;$C267,"",J$4*$G267))</f>
        <v/>
      </c>
      <c r="K267" s="19" t="str">
        <f>IF(2026-K$3&gt;IF($D267="",2026,$D267),IF(K$3=12,0.1*$G267,""),IF(2026-K$4&lt;$C267,"",K$4*$G267))</f>
        <v/>
      </c>
      <c r="L267" s="19" t="str">
        <f>IF(2026-L$3&gt;IF($D267="",2026,$D267),IF(L$3=12,0.1*$G267,""),IF(2026-L$4&lt;$C267,"",L$4*$G267))</f>
        <v/>
      </c>
      <c r="M267" s="19" t="str">
        <f>IF(2026-M$3&gt;IF($D267="",2026,$D267),IF(M$3=12,0.1*$G267,""),IF(2026-M$4&lt;$C267,"",M$4*$G267))</f>
        <v/>
      </c>
      <c r="N267" s="19" t="str">
        <f>IF(2026-N$3&gt;IF($D267="",2026,$D267),IF(N$3=12,0.1*$G267,""),IF(2026-N$4&lt;$C267,"",N$4*$G267))</f>
        <v/>
      </c>
      <c r="O267" s="19" t="str">
        <f>IF(2026-O$3&gt;IF($D267="",2026,$D267),IF(O$3=12,0.1*$G267,""),IF(2026-O$4&lt;$C267,"",O$4*$G267))</f>
        <v/>
      </c>
      <c r="P267" s="19" t="str">
        <f>IF(2026-P$3&gt;IF($D267="",2026,$D267),IF(P$3=12,0.1*$G267,""),IF(2026-P$4&lt;$C267,"",P$4*$G267))</f>
        <v/>
      </c>
      <c r="Q267" s="19" t="str">
        <f>IF(2026-Q$3&gt;IF($D267="",2026,$D267),IF(Q$3=12,0.1*$G267,""),IF(2026-Q$4&lt;$C267,"",Q$4*$G267))</f>
        <v/>
      </c>
      <c r="R267" s="19" t="str">
        <f>IF(2026-R$3&gt;IF($D267="",2026,$D267),IF(R$3=12,0.1*$G267,""),IF(2026-R$4&lt;$C267,"",R$4*$G267))</f>
        <v/>
      </c>
      <c r="S267" s="19" t="str">
        <f>IF(2026-S$3&gt;IF($D267="",2026,$D267),IF(S$3=12,0.1*$G267,""),IF(2026-S$4&lt;$C267,"",S$4*$G267))</f>
        <v/>
      </c>
      <c r="T267" s="19" t="str">
        <f>IF(2026-T$3&gt;IF($D267="",2026,$D267),IF(T$3=12,0.1*$G267,""),IF(2026-T$4&lt;$C267,"",T$4*$G267))</f>
        <v/>
      </c>
    </row>
    <row r="268" spans="1:20" s="18" customFormat="1" ht="12" customHeight="1" x14ac:dyDescent="0.2">
      <c r="A268" s="17"/>
      <c r="B268" s="16" t="s">
        <v>186</v>
      </c>
      <c r="C268" s="13">
        <v>2010</v>
      </c>
      <c r="D268" s="13">
        <v>2014</v>
      </c>
      <c r="E268" s="13">
        <v>4134</v>
      </c>
      <c r="F268" s="13">
        <v>382</v>
      </c>
      <c r="G268" s="21">
        <v>74800</v>
      </c>
      <c r="H268" s="20"/>
      <c r="I268" s="19">
        <f>IF(2026-I$3&gt;IF($D268="",2026,$D268),IF(I$3=12,0.1*$G268,""),IF(2026-I$4&lt;$C268,"",I$4*$G268))</f>
        <v>7480</v>
      </c>
      <c r="J268" s="19" t="str">
        <f>IF(2026-J$3&gt;IF($D268="",2026,$D268),IF(J$3=12,0.1*$G268,""),IF(2026-J$4&lt;$C268,"",J$4*$G268))</f>
        <v/>
      </c>
      <c r="K268" s="19" t="str">
        <f>IF(2026-K$3&gt;IF($D268="",2026,$D268),IF(K$3=12,0.1*$G268,""),IF(2026-K$4&lt;$C268,"",K$4*$G268))</f>
        <v/>
      </c>
      <c r="L268" s="19" t="str">
        <f>IF(2026-L$3&gt;IF($D268="",2026,$D268),IF(L$3=12,0.1*$G268,""),IF(2026-L$4&lt;$C268,"",L$4*$G268))</f>
        <v/>
      </c>
      <c r="M268" s="19" t="str">
        <f>IF(2026-M$3&gt;IF($D268="",2026,$D268),IF(M$3=12,0.1*$G268,""),IF(2026-M$4&lt;$C268,"",M$4*$G268))</f>
        <v/>
      </c>
      <c r="N268" s="19" t="str">
        <f>IF(2026-N$3&gt;IF($D268="",2026,$D268),IF(N$3=12,0.1*$G268,""),IF(2026-N$4&lt;$C268,"",N$4*$G268))</f>
        <v/>
      </c>
      <c r="O268" s="19" t="str">
        <f>IF(2026-O$3&gt;IF($D268="",2026,$D268),IF(O$3=12,0.1*$G268,""),IF(2026-O$4&lt;$C268,"",O$4*$G268))</f>
        <v/>
      </c>
      <c r="P268" s="19" t="str">
        <f>IF(2026-P$3&gt;IF($D268="",2026,$D268),IF(P$3=12,0.1*$G268,""),IF(2026-P$4&lt;$C268,"",P$4*$G268))</f>
        <v/>
      </c>
      <c r="Q268" s="19" t="str">
        <f>IF(2026-Q$3&gt;IF($D268="",2026,$D268),IF(Q$3=12,0.1*$G268,""),IF(2026-Q$4&lt;$C268,"",Q$4*$G268))</f>
        <v/>
      </c>
      <c r="R268" s="19" t="str">
        <f>IF(2026-R$3&gt;IF($D268="",2026,$D268),IF(R$3=12,0.1*$G268,""),IF(2026-R$4&lt;$C268,"",R$4*$G268))</f>
        <v/>
      </c>
      <c r="S268" s="19" t="str">
        <f>IF(2026-S$3&gt;IF($D268="",2026,$D268),IF(S$3=12,0.1*$G268,""),IF(2026-S$4&lt;$C268,"",S$4*$G268))</f>
        <v/>
      </c>
      <c r="T268" s="19" t="str">
        <f>IF(2026-T$3&gt;IF($D268="",2026,$D268),IF(T$3=12,0.1*$G268,""),IF(2026-T$4&lt;$C268,"",T$4*$G268))</f>
        <v/>
      </c>
    </row>
    <row r="269" spans="1:20" s="18" customFormat="1" ht="12" customHeight="1" x14ac:dyDescent="0.2">
      <c r="A269" s="17"/>
      <c r="B269" s="16" t="s">
        <v>185</v>
      </c>
      <c r="C269" s="13">
        <v>2010</v>
      </c>
      <c r="D269" s="13">
        <v>2014</v>
      </c>
      <c r="E269" s="13">
        <v>4806</v>
      </c>
      <c r="F269" s="13">
        <v>400</v>
      </c>
      <c r="G269" s="21">
        <v>67600</v>
      </c>
      <c r="H269" s="20"/>
      <c r="I269" s="19">
        <f>IF(2026-I$3&gt;IF($D269="",2026,$D269),IF(I$3=12,0.1*$G269,""),IF(2026-I$4&lt;$C269,"",I$4*$G269))</f>
        <v>6760</v>
      </c>
      <c r="J269" s="19" t="str">
        <f>IF(2026-J$3&gt;IF($D269="",2026,$D269),IF(J$3=12,0.1*$G269,""),IF(2026-J$4&lt;$C269,"",J$4*$G269))</f>
        <v/>
      </c>
      <c r="K269" s="19" t="str">
        <f>IF(2026-K$3&gt;IF($D269="",2026,$D269),IF(K$3=12,0.1*$G269,""),IF(2026-K$4&lt;$C269,"",K$4*$G269))</f>
        <v/>
      </c>
      <c r="L269" s="19" t="str">
        <f>IF(2026-L$3&gt;IF($D269="",2026,$D269),IF(L$3=12,0.1*$G269,""),IF(2026-L$4&lt;$C269,"",L$4*$G269))</f>
        <v/>
      </c>
      <c r="M269" s="19" t="str">
        <f>IF(2026-M$3&gt;IF($D269="",2026,$D269),IF(M$3=12,0.1*$G269,""),IF(2026-M$4&lt;$C269,"",M$4*$G269))</f>
        <v/>
      </c>
      <c r="N269" s="19" t="str">
        <f>IF(2026-N$3&gt;IF($D269="",2026,$D269),IF(N$3=12,0.1*$G269,""),IF(2026-N$4&lt;$C269,"",N$4*$G269))</f>
        <v/>
      </c>
      <c r="O269" s="19" t="str">
        <f>IF(2026-O$3&gt;IF($D269="",2026,$D269),IF(O$3=12,0.1*$G269,""),IF(2026-O$4&lt;$C269,"",O$4*$G269))</f>
        <v/>
      </c>
      <c r="P269" s="19" t="str">
        <f>IF(2026-P$3&gt;IF($D269="",2026,$D269),IF(P$3=12,0.1*$G269,""),IF(2026-P$4&lt;$C269,"",P$4*$G269))</f>
        <v/>
      </c>
      <c r="Q269" s="19" t="str">
        <f>IF(2026-Q$3&gt;IF($D269="",2026,$D269),IF(Q$3=12,0.1*$G269,""),IF(2026-Q$4&lt;$C269,"",Q$4*$G269))</f>
        <v/>
      </c>
      <c r="R269" s="19" t="str">
        <f>IF(2026-R$3&gt;IF($D269="",2026,$D269),IF(R$3=12,0.1*$G269,""),IF(2026-R$4&lt;$C269,"",R$4*$G269))</f>
        <v/>
      </c>
      <c r="S269" s="19" t="str">
        <f>IF(2026-S$3&gt;IF($D269="",2026,$D269),IF(S$3=12,0.1*$G269,""),IF(2026-S$4&lt;$C269,"",S$4*$G269))</f>
        <v/>
      </c>
      <c r="T269" s="19" t="str">
        <f>IF(2026-T$3&gt;IF($D269="",2026,$D269),IF(T$3=12,0.1*$G269,""),IF(2026-T$4&lt;$C269,"",T$4*$G269))</f>
        <v/>
      </c>
    </row>
    <row r="270" spans="1:20" s="18" customFormat="1" ht="12" customHeight="1" x14ac:dyDescent="0.2">
      <c r="A270" s="17"/>
      <c r="B270" s="16" t="s">
        <v>184</v>
      </c>
      <c r="C270" s="13">
        <v>2010</v>
      </c>
      <c r="D270" s="13">
        <v>2010</v>
      </c>
      <c r="E270" s="13">
        <v>4806</v>
      </c>
      <c r="F270" s="13">
        <v>405</v>
      </c>
      <c r="G270" s="21">
        <v>86600</v>
      </c>
      <c r="H270" s="20"/>
      <c r="I270" s="19">
        <f>IF(2026-I$3&gt;IF($D270="",2026,$D270),IF(I$3=12,0.1*$G270,""),IF(2026-I$4&lt;$C270,"",I$4*$G270))</f>
        <v>8660</v>
      </c>
      <c r="J270" s="19" t="str">
        <f>IF(2026-J$3&gt;IF($D270="",2026,$D270),IF(J$3=12,0.1*$G270,""),IF(2026-J$4&lt;$C270,"",J$4*$G270))</f>
        <v/>
      </c>
      <c r="K270" s="19" t="str">
        <f>IF(2026-K$3&gt;IF($D270="",2026,$D270),IF(K$3=12,0.1*$G270,""),IF(2026-K$4&lt;$C270,"",K$4*$G270))</f>
        <v/>
      </c>
      <c r="L270" s="19" t="str">
        <f>IF(2026-L$3&gt;IF($D270="",2026,$D270),IF(L$3=12,0.1*$G270,""),IF(2026-L$4&lt;$C270,"",L$4*$G270))</f>
        <v/>
      </c>
      <c r="M270" s="19" t="str">
        <f>IF(2026-M$3&gt;IF($D270="",2026,$D270),IF(M$3=12,0.1*$G270,""),IF(2026-M$4&lt;$C270,"",M$4*$G270))</f>
        <v/>
      </c>
      <c r="N270" s="19" t="str">
        <f>IF(2026-N$3&gt;IF($D270="",2026,$D270),IF(N$3=12,0.1*$G270,""),IF(2026-N$4&lt;$C270,"",N$4*$G270))</f>
        <v/>
      </c>
      <c r="O270" s="19" t="str">
        <f>IF(2026-O$3&gt;IF($D270="",2026,$D270),IF(O$3=12,0.1*$G270,""),IF(2026-O$4&lt;$C270,"",O$4*$G270))</f>
        <v/>
      </c>
      <c r="P270" s="19" t="str">
        <f>IF(2026-P$3&gt;IF($D270="",2026,$D270),IF(P$3=12,0.1*$G270,""),IF(2026-P$4&lt;$C270,"",P$4*$G270))</f>
        <v/>
      </c>
      <c r="Q270" s="19" t="str">
        <f>IF(2026-Q$3&gt;IF($D270="",2026,$D270),IF(Q$3=12,0.1*$G270,""),IF(2026-Q$4&lt;$C270,"",Q$4*$G270))</f>
        <v/>
      </c>
      <c r="R270" s="19" t="str">
        <f>IF(2026-R$3&gt;IF($D270="",2026,$D270),IF(R$3=12,0.1*$G270,""),IF(2026-R$4&lt;$C270,"",R$4*$G270))</f>
        <v/>
      </c>
      <c r="S270" s="19" t="str">
        <f>IF(2026-S$3&gt;IF($D270="",2026,$D270),IF(S$3=12,0.1*$G270,""),IF(2026-S$4&lt;$C270,"",S$4*$G270))</f>
        <v/>
      </c>
      <c r="T270" s="19" t="str">
        <f>IF(2026-T$3&gt;IF($D270="",2026,$D270),IF(T$3=12,0.1*$G270,""),IF(2026-T$4&lt;$C270,"",T$4*$G270))</f>
        <v/>
      </c>
    </row>
    <row r="271" spans="1:20" s="18" customFormat="1" ht="12" customHeight="1" x14ac:dyDescent="0.2">
      <c r="A271" s="17"/>
      <c r="B271" s="16" t="s">
        <v>176</v>
      </c>
      <c r="C271" s="13">
        <v>2010</v>
      </c>
      <c r="D271" s="13">
        <v>2014</v>
      </c>
      <c r="E271" s="13">
        <v>4806</v>
      </c>
      <c r="F271" s="13">
        <v>420</v>
      </c>
      <c r="G271" s="21">
        <v>85100</v>
      </c>
      <c r="H271" s="20"/>
      <c r="I271" s="19">
        <f>IF(2026-I$3&gt;IF($D271="",2026,$D271),IF(I$3=12,0.1*$G271,""),IF(2026-I$4&lt;$C271,"",I$4*$G271))</f>
        <v>8510</v>
      </c>
      <c r="J271" s="19" t="str">
        <f>IF(2026-J$3&gt;IF($D271="",2026,$D271),IF(J$3=12,0.1*$G271,""),IF(2026-J$4&lt;$C271,"",J$4*$G271))</f>
        <v/>
      </c>
      <c r="K271" s="19" t="str">
        <f>IF(2026-K$3&gt;IF($D271="",2026,$D271),IF(K$3=12,0.1*$G271,""),IF(2026-K$4&lt;$C271,"",K$4*$G271))</f>
        <v/>
      </c>
      <c r="L271" s="19" t="str">
        <f>IF(2026-L$3&gt;IF($D271="",2026,$D271),IF(L$3=12,0.1*$G271,""),IF(2026-L$4&lt;$C271,"",L$4*$G271))</f>
        <v/>
      </c>
      <c r="M271" s="19" t="str">
        <f>IF(2026-M$3&gt;IF($D271="",2026,$D271),IF(M$3=12,0.1*$G271,""),IF(2026-M$4&lt;$C271,"",M$4*$G271))</f>
        <v/>
      </c>
      <c r="N271" s="19" t="str">
        <f>IF(2026-N$3&gt;IF($D271="",2026,$D271),IF(N$3=12,0.1*$G271,""),IF(2026-N$4&lt;$C271,"",N$4*$G271))</f>
        <v/>
      </c>
      <c r="O271" s="19" t="str">
        <f>IF(2026-O$3&gt;IF($D271="",2026,$D271),IF(O$3=12,0.1*$G271,""),IF(2026-O$4&lt;$C271,"",O$4*$G271))</f>
        <v/>
      </c>
      <c r="P271" s="19" t="str">
        <f>IF(2026-P$3&gt;IF($D271="",2026,$D271),IF(P$3=12,0.1*$G271,""),IF(2026-P$4&lt;$C271,"",P$4*$G271))</f>
        <v/>
      </c>
      <c r="Q271" s="19" t="str">
        <f>IF(2026-Q$3&gt;IF($D271="",2026,$D271),IF(Q$3=12,0.1*$G271,""),IF(2026-Q$4&lt;$C271,"",Q$4*$G271))</f>
        <v/>
      </c>
      <c r="R271" s="19" t="str">
        <f>IF(2026-R$3&gt;IF($D271="",2026,$D271),IF(R$3=12,0.1*$G271,""),IF(2026-R$4&lt;$C271,"",R$4*$G271))</f>
        <v/>
      </c>
      <c r="S271" s="19" t="str">
        <f>IF(2026-S$3&gt;IF($D271="",2026,$D271),IF(S$3=12,0.1*$G271,""),IF(2026-S$4&lt;$C271,"",S$4*$G271))</f>
        <v/>
      </c>
      <c r="T271" s="19" t="str">
        <f>IF(2026-T$3&gt;IF($D271="",2026,$D271),IF(T$3=12,0.1*$G271,""),IF(2026-T$4&lt;$C271,"",T$4*$G271))</f>
        <v/>
      </c>
    </row>
    <row r="272" spans="1:20" s="18" customFormat="1" ht="12" customHeight="1" x14ac:dyDescent="0.2">
      <c r="A272" s="17"/>
      <c r="B272" s="16" t="s">
        <v>183</v>
      </c>
      <c r="C272" s="13">
        <v>2014</v>
      </c>
      <c r="D272" s="13"/>
      <c r="E272" s="13">
        <v>2967</v>
      </c>
      <c r="F272" s="13">
        <v>262</v>
      </c>
      <c r="G272" s="21">
        <v>65900</v>
      </c>
      <c r="H272" s="20"/>
      <c r="I272" s="19">
        <f>IF(2026-I$3&gt;IF($D272="",2026,$D272),IF(I$3=12,0.1*$G272,""),IF(2026-I$4&lt;$C272,"",I$4*$G272))</f>
        <v>6590</v>
      </c>
      <c r="J272" s="19">
        <f>IF(2026-J$3&gt;IF($D272="",2026,$D272),IF(J$3=12,0.1*$G272,""),IF(2026-J$4&lt;$C272,"",J$4*$G272))</f>
        <v>8567</v>
      </c>
      <c r="K272" s="19">
        <f>IF(2026-K$3&gt;IF($D272="",2026,$D272),IF(K$3=12,0.1*$G272,""),IF(2026-K$4&lt;$C272,"",K$4*$G272))</f>
        <v>11203</v>
      </c>
      <c r="L272" s="19">
        <f>IF(2026-L$3&gt;IF($D272="",2026,$D272),IF(L$3=12,0.1*$G272,""),IF(2026-L$4&lt;$C272,"",L$4*$G272))</f>
        <v>12521</v>
      </c>
      <c r="M272" s="19">
        <f>IF(2026-M$3&gt;IF($D272="",2026,$D272),IF(M$3=12,0.1*$G272,""),IF(2026-M$4&lt;$C272,"",M$4*$G272))</f>
        <v>15816</v>
      </c>
      <c r="N272" s="19">
        <f>IF(2026-N$3&gt;IF($D272="",2026,$D272),IF(N$3=12,0.1*$G272,""),IF(2026-N$4&lt;$C272,"",N$4*$G272))</f>
        <v>18452</v>
      </c>
      <c r="O272" s="19">
        <f>IF(2026-O$3&gt;IF($D272="",2026,$D272),IF(O$3=12,0.1*$G272,""),IF(2026-O$4&lt;$C272,"",O$4*$G272))</f>
        <v>22406</v>
      </c>
      <c r="P272" s="19">
        <f>IF(2026-P$3&gt;IF($D272="",2026,$D272),IF(P$3=12,0.1*$G272,""),IF(2026-P$4&lt;$C272,"",P$4*$G272))</f>
        <v>25701</v>
      </c>
      <c r="Q272" s="19">
        <f>IF(2026-Q$3&gt;IF($D272="",2026,$D272),IF(Q$3=12,0.1*$G272,""),IF(2026-Q$4&lt;$C272,"",Q$4*$G272))</f>
        <v>30973</v>
      </c>
      <c r="R272" s="19">
        <f>IF(2026-R$3&gt;IF($D272="",2026,$D272),IF(R$3=12,0.1*$G272,""),IF(2026-R$4&lt;$C272,"",R$4*$G272))</f>
        <v>36904</v>
      </c>
      <c r="S272" s="19">
        <f>IF(2026-S$3&gt;IF($D272="",2026,$D272),IF(S$3=12,0.1*$G272,""),IF(2026-S$4&lt;$C272,"",S$4*$G272))</f>
        <v>44153</v>
      </c>
      <c r="T272" s="19">
        <f>IF(2026-T$3&gt;IF($D272="",2026,$D272),IF(T$3=12,0.1*$G272,""),IF(2026-T$4&lt;$C272,"",T$4*$G272))</f>
        <v>55356</v>
      </c>
    </row>
    <row r="273" spans="1:20" s="18" customFormat="1" ht="12" customHeight="1" x14ac:dyDescent="0.2">
      <c r="A273" s="17"/>
      <c r="B273" s="16" t="s">
        <v>182</v>
      </c>
      <c r="C273" s="13">
        <v>2014</v>
      </c>
      <c r="D273" s="13"/>
      <c r="E273" s="13">
        <v>4134</v>
      </c>
      <c r="F273" s="13">
        <v>385</v>
      </c>
      <c r="G273" s="21">
        <v>84100</v>
      </c>
      <c r="H273" s="20"/>
      <c r="I273" s="19">
        <f>IF(2026-I$3&gt;IF($D273="",2026,$D273),IF(I$3=12,0.1*$G273,""),IF(2026-I$4&lt;$C273,"",I$4*$G273))</f>
        <v>8410</v>
      </c>
      <c r="J273" s="19">
        <f>IF(2026-J$3&gt;IF($D273="",2026,$D273),IF(J$3=12,0.1*$G273,""),IF(2026-J$4&lt;$C273,"",J$4*$G273))</f>
        <v>10933</v>
      </c>
      <c r="K273" s="19">
        <f>IF(2026-K$3&gt;IF($D273="",2026,$D273),IF(K$3=12,0.1*$G273,""),IF(2026-K$4&lt;$C273,"",K$4*$G273))</f>
        <v>14297.000000000002</v>
      </c>
      <c r="L273" s="19">
        <f>IF(2026-L$3&gt;IF($D273="",2026,$D273),IF(L$3=12,0.1*$G273,""),IF(2026-L$4&lt;$C273,"",L$4*$G273))</f>
        <v>15979</v>
      </c>
      <c r="M273" s="19">
        <f>IF(2026-M$3&gt;IF($D273="",2026,$D273),IF(M$3=12,0.1*$G273,""),IF(2026-M$4&lt;$C273,"",M$4*$G273))</f>
        <v>20184</v>
      </c>
      <c r="N273" s="19">
        <f>IF(2026-N$3&gt;IF($D273="",2026,$D273),IF(N$3=12,0.1*$G273,""),IF(2026-N$4&lt;$C273,"",N$4*$G273))</f>
        <v>23548.000000000004</v>
      </c>
      <c r="O273" s="19">
        <f>IF(2026-O$3&gt;IF($D273="",2026,$D273),IF(O$3=12,0.1*$G273,""),IF(2026-O$4&lt;$C273,"",O$4*$G273))</f>
        <v>28594.000000000004</v>
      </c>
      <c r="P273" s="19">
        <f>IF(2026-P$3&gt;IF($D273="",2026,$D273),IF(P$3=12,0.1*$G273,""),IF(2026-P$4&lt;$C273,"",P$4*$G273))</f>
        <v>32799</v>
      </c>
      <c r="Q273" s="19">
        <f>IF(2026-Q$3&gt;IF($D273="",2026,$D273),IF(Q$3=12,0.1*$G273,""),IF(2026-Q$4&lt;$C273,"",Q$4*$G273))</f>
        <v>39527</v>
      </c>
      <c r="R273" s="19">
        <f>IF(2026-R$3&gt;IF($D273="",2026,$D273),IF(R$3=12,0.1*$G273,""),IF(2026-R$4&lt;$C273,"",R$4*$G273))</f>
        <v>47096.000000000007</v>
      </c>
      <c r="S273" s="19">
        <f>IF(2026-S$3&gt;IF($D273="",2026,$D273),IF(S$3=12,0.1*$G273,""),IF(2026-S$4&lt;$C273,"",S$4*$G273))</f>
        <v>56347</v>
      </c>
      <c r="T273" s="19">
        <f>IF(2026-T$3&gt;IF($D273="",2026,$D273),IF(T$3=12,0.1*$G273,""),IF(2026-T$4&lt;$C273,"",T$4*$G273))</f>
        <v>70644</v>
      </c>
    </row>
    <row r="274" spans="1:20" s="18" customFormat="1" ht="12" customHeight="1" x14ac:dyDescent="0.2">
      <c r="A274" s="17"/>
      <c r="B274" s="16" t="s">
        <v>181</v>
      </c>
      <c r="C274" s="13">
        <v>2014</v>
      </c>
      <c r="D274" s="13"/>
      <c r="E274" s="13">
        <v>2995</v>
      </c>
      <c r="F274" s="13">
        <v>416</v>
      </c>
      <c r="G274" s="21">
        <v>74600</v>
      </c>
      <c r="H274" s="20"/>
      <c r="I274" s="19">
        <f>IF(2026-I$3&gt;IF($D274="",2026,$D274),IF(I$3=12,0.1*$G274,""),IF(2026-I$4&lt;$C274,"",I$4*$G274))</f>
        <v>7460</v>
      </c>
      <c r="J274" s="19">
        <f>IF(2026-J$3&gt;IF($D274="",2026,$D274),IF(J$3=12,0.1*$G274,""),IF(2026-J$4&lt;$C274,"",J$4*$G274))</f>
        <v>9698</v>
      </c>
      <c r="K274" s="19">
        <f>IF(2026-K$3&gt;IF($D274="",2026,$D274),IF(K$3=12,0.1*$G274,""),IF(2026-K$4&lt;$C274,"",K$4*$G274))</f>
        <v>12682.000000000002</v>
      </c>
      <c r="L274" s="19">
        <f>IF(2026-L$3&gt;IF($D274="",2026,$D274),IF(L$3=12,0.1*$G274,""),IF(2026-L$4&lt;$C274,"",L$4*$G274))</f>
        <v>14174</v>
      </c>
      <c r="M274" s="19">
        <f>IF(2026-M$3&gt;IF($D274="",2026,$D274),IF(M$3=12,0.1*$G274,""),IF(2026-M$4&lt;$C274,"",M$4*$G274))</f>
        <v>17904</v>
      </c>
      <c r="N274" s="19">
        <f>IF(2026-N$3&gt;IF($D274="",2026,$D274),IF(N$3=12,0.1*$G274,""),IF(2026-N$4&lt;$C274,"",N$4*$G274))</f>
        <v>20888.000000000004</v>
      </c>
      <c r="O274" s="19">
        <f>IF(2026-O$3&gt;IF($D274="",2026,$D274),IF(O$3=12,0.1*$G274,""),IF(2026-O$4&lt;$C274,"",O$4*$G274))</f>
        <v>25364.000000000004</v>
      </c>
      <c r="P274" s="19">
        <f>IF(2026-P$3&gt;IF($D274="",2026,$D274),IF(P$3=12,0.1*$G274,""),IF(2026-P$4&lt;$C274,"",P$4*$G274))</f>
        <v>29094</v>
      </c>
      <c r="Q274" s="19">
        <f>IF(2026-Q$3&gt;IF($D274="",2026,$D274),IF(Q$3=12,0.1*$G274,""),IF(2026-Q$4&lt;$C274,"",Q$4*$G274))</f>
        <v>35062</v>
      </c>
      <c r="R274" s="19">
        <f>IF(2026-R$3&gt;IF($D274="",2026,$D274),IF(R$3=12,0.1*$G274,""),IF(2026-R$4&lt;$C274,"",R$4*$G274))</f>
        <v>41776.000000000007</v>
      </c>
      <c r="S274" s="19">
        <f>IF(2026-S$3&gt;IF($D274="",2026,$D274),IF(S$3=12,0.1*$G274,""),IF(2026-S$4&lt;$C274,"",S$4*$G274))</f>
        <v>49982</v>
      </c>
      <c r="T274" s="19">
        <f>IF(2026-T$3&gt;IF($D274="",2026,$D274),IF(T$3=12,0.1*$G274,""),IF(2026-T$4&lt;$C274,"",T$4*$G274))</f>
        <v>62664</v>
      </c>
    </row>
    <row r="275" spans="1:20" s="18" customFormat="1" ht="12" customHeight="1" x14ac:dyDescent="0.2">
      <c r="A275" s="17"/>
      <c r="B275" s="16" t="s">
        <v>180</v>
      </c>
      <c r="C275" s="13">
        <v>2014</v>
      </c>
      <c r="D275" s="13"/>
      <c r="E275" s="13">
        <v>3604</v>
      </c>
      <c r="F275" s="13">
        <v>421</v>
      </c>
      <c r="G275" s="21">
        <v>82300</v>
      </c>
      <c r="H275" s="20"/>
      <c r="I275" s="19">
        <f>IF(2026-I$3&gt;IF($D275="",2026,$D275),IF(I$3=12,0.1*$G275,""),IF(2026-I$4&lt;$C275,"",I$4*$G275))</f>
        <v>8230</v>
      </c>
      <c r="J275" s="19">
        <f>IF(2026-J$3&gt;IF($D275="",2026,$D275),IF(J$3=12,0.1*$G275,""),IF(2026-J$4&lt;$C275,"",J$4*$G275))</f>
        <v>10699</v>
      </c>
      <c r="K275" s="19">
        <f>IF(2026-K$3&gt;IF($D275="",2026,$D275),IF(K$3=12,0.1*$G275,""),IF(2026-K$4&lt;$C275,"",K$4*$G275))</f>
        <v>13991.000000000002</v>
      </c>
      <c r="L275" s="19">
        <f>IF(2026-L$3&gt;IF($D275="",2026,$D275),IF(L$3=12,0.1*$G275,""),IF(2026-L$4&lt;$C275,"",L$4*$G275))</f>
        <v>15637</v>
      </c>
      <c r="M275" s="19">
        <f>IF(2026-M$3&gt;IF($D275="",2026,$D275),IF(M$3=12,0.1*$G275,""),IF(2026-M$4&lt;$C275,"",M$4*$G275))</f>
        <v>19752</v>
      </c>
      <c r="N275" s="19">
        <f>IF(2026-N$3&gt;IF($D275="",2026,$D275),IF(N$3=12,0.1*$G275,""),IF(2026-N$4&lt;$C275,"",N$4*$G275))</f>
        <v>23044.000000000004</v>
      </c>
      <c r="O275" s="19">
        <f>IF(2026-O$3&gt;IF($D275="",2026,$D275),IF(O$3=12,0.1*$G275,""),IF(2026-O$4&lt;$C275,"",O$4*$G275))</f>
        <v>27982.000000000004</v>
      </c>
      <c r="P275" s="19">
        <f>IF(2026-P$3&gt;IF($D275="",2026,$D275),IF(P$3=12,0.1*$G275,""),IF(2026-P$4&lt;$C275,"",P$4*$G275))</f>
        <v>32097</v>
      </c>
      <c r="Q275" s="19">
        <f>IF(2026-Q$3&gt;IF($D275="",2026,$D275),IF(Q$3=12,0.1*$G275,""),IF(2026-Q$4&lt;$C275,"",Q$4*$G275))</f>
        <v>38681</v>
      </c>
      <c r="R275" s="19">
        <f>IF(2026-R$3&gt;IF($D275="",2026,$D275),IF(R$3=12,0.1*$G275,""),IF(2026-R$4&lt;$C275,"",R$4*$G275))</f>
        <v>46088.000000000007</v>
      </c>
      <c r="S275" s="19">
        <f>IF(2026-S$3&gt;IF($D275="",2026,$D275),IF(S$3=12,0.1*$G275,""),IF(2026-S$4&lt;$C275,"",S$4*$G275))</f>
        <v>55141</v>
      </c>
      <c r="T275" s="19">
        <f>IF(2026-T$3&gt;IF($D275="",2026,$D275),IF(T$3=12,0.1*$G275,""),IF(2026-T$4&lt;$C275,"",T$4*$G275))</f>
        <v>69132</v>
      </c>
    </row>
    <row r="276" spans="1:20" s="18" customFormat="1" ht="12" customHeight="1" x14ac:dyDescent="0.2">
      <c r="A276" s="17"/>
      <c r="B276" s="16" t="s">
        <v>179</v>
      </c>
      <c r="C276" s="13">
        <v>2014</v>
      </c>
      <c r="D276" s="13"/>
      <c r="E276" s="13">
        <v>4806</v>
      </c>
      <c r="F276" s="13">
        <v>519</v>
      </c>
      <c r="G276" s="21">
        <v>130400</v>
      </c>
      <c r="H276" s="20"/>
      <c r="I276" s="19">
        <f>IF(2026-I$3&gt;IF($D276="",2026,$D276),IF(I$3=12,0.1*$G276,""),IF(2026-I$4&lt;$C276,"",I$4*$G276))</f>
        <v>13040</v>
      </c>
      <c r="J276" s="19">
        <f>IF(2026-J$3&gt;IF($D276="",2026,$D276),IF(J$3=12,0.1*$G276,""),IF(2026-J$4&lt;$C276,"",J$4*$G276))</f>
        <v>16952</v>
      </c>
      <c r="K276" s="19">
        <f>IF(2026-K$3&gt;IF($D276="",2026,$D276),IF(K$3=12,0.1*$G276,""),IF(2026-K$4&lt;$C276,"",K$4*$G276))</f>
        <v>22168</v>
      </c>
      <c r="L276" s="19">
        <f>IF(2026-L$3&gt;IF($D276="",2026,$D276),IF(L$3=12,0.1*$G276,""),IF(2026-L$4&lt;$C276,"",L$4*$G276))</f>
        <v>24776</v>
      </c>
      <c r="M276" s="19">
        <f>IF(2026-M$3&gt;IF($D276="",2026,$D276),IF(M$3=12,0.1*$G276,""),IF(2026-M$4&lt;$C276,"",M$4*$G276))</f>
        <v>31296</v>
      </c>
      <c r="N276" s="19">
        <f>IF(2026-N$3&gt;IF($D276="",2026,$D276),IF(N$3=12,0.1*$G276,""),IF(2026-N$4&lt;$C276,"",N$4*$G276))</f>
        <v>36512</v>
      </c>
      <c r="O276" s="19">
        <f>IF(2026-O$3&gt;IF($D276="",2026,$D276),IF(O$3=12,0.1*$G276,""),IF(2026-O$4&lt;$C276,"",O$4*$G276))</f>
        <v>44336</v>
      </c>
      <c r="P276" s="19">
        <f>IF(2026-P$3&gt;IF($D276="",2026,$D276),IF(P$3=12,0.1*$G276,""),IF(2026-P$4&lt;$C276,"",P$4*$G276))</f>
        <v>50856</v>
      </c>
      <c r="Q276" s="19">
        <f>IF(2026-Q$3&gt;IF($D276="",2026,$D276),IF(Q$3=12,0.1*$G276,""),IF(2026-Q$4&lt;$C276,"",Q$4*$G276))</f>
        <v>61288</v>
      </c>
      <c r="R276" s="19">
        <f>IF(2026-R$3&gt;IF($D276="",2026,$D276),IF(R$3=12,0.1*$G276,""),IF(2026-R$4&lt;$C276,"",R$4*$G276))</f>
        <v>73024</v>
      </c>
      <c r="S276" s="19">
        <f>IF(2026-S$3&gt;IF($D276="",2026,$D276),IF(S$3=12,0.1*$G276,""),IF(2026-S$4&lt;$C276,"",S$4*$G276))</f>
        <v>87368</v>
      </c>
      <c r="T276" s="19">
        <f>IF(2026-T$3&gt;IF($D276="",2026,$D276),IF(T$3=12,0.1*$G276,""),IF(2026-T$4&lt;$C276,"",T$4*$G276))</f>
        <v>109536</v>
      </c>
    </row>
    <row r="277" spans="1:20" s="18" customFormat="1" ht="12" customHeight="1" x14ac:dyDescent="0.2">
      <c r="A277" s="17"/>
      <c r="B277" s="16" t="s">
        <v>178</v>
      </c>
      <c r="C277" s="13">
        <v>2015</v>
      </c>
      <c r="D277" s="13"/>
      <c r="E277" s="13">
        <v>2967</v>
      </c>
      <c r="F277" s="13">
        <v>245</v>
      </c>
      <c r="G277" s="21">
        <v>61400</v>
      </c>
      <c r="H277" s="20"/>
      <c r="I277" s="19">
        <f>IF(2026-I$3&gt;IF($D277="",2026,$D277),IF(I$3=12,0.1*$G277,""),IF(2026-I$4&lt;$C277,"",I$4*$G277))</f>
        <v>6140</v>
      </c>
      <c r="J277" s="19">
        <f>IF(2026-J$3&gt;IF($D277="",2026,$D277),IF(J$3=12,0.1*$G277,""),IF(2026-J$4&lt;$C277,"",J$4*$G277))</f>
        <v>7982</v>
      </c>
      <c r="K277" s="19">
        <f>IF(2026-K$3&gt;IF($D277="",2026,$D277),IF(K$3=12,0.1*$G277,""),IF(2026-K$4&lt;$C277,"",K$4*$G277))</f>
        <v>10438</v>
      </c>
      <c r="L277" s="19">
        <f>IF(2026-L$3&gt;IF($D277="",2026,$D277),IF(L$3=12,0.1*$G277,""),IF(2026-L$4&lt;$C277,"",L$4*$G277))</f>
        <v>11666</v>
      </c>
      <c r="M277" s="19">
        <f>IF(2026-M$3&gt;IF($D277="",2026,$D277),IF(M$3=12,0.1*$G277,""),IF(2026-M$4&lt;$C277,"",M$4*$G277))</f>
        <v>14736</v>
      </c>
      <c r="N277" s="19">
        <f>IF(2026-N$3&gt;IF($D277="",2026,$D277),IF(N$3=12,0.1*$G277,""),IF(2026-N$4&lt;$C277,"",N$4*$G277))</f>
        <v>17192</v>
      </c>
      <c r="O277" s="19">
        <f>IF(2026-O$3&gt;IF($D277="",2026,$D277),IF(O$3=12,0.1*$G277,""),IF(2026-O$4&lt;$C277,"",O$4*$G277))</f>
        <v>20876</v>
      </c>
      <c r="P277" s="19">
        <f>IF(2026-P$3&gt;IF($D277="",2026,$D277),IF(P$3=12,0.1*$G277,""),IF(2026-P$4&lt;$C277,"",P$4*$G277))</f>
        <v>23946</v>
      </c>
      <c r="Q277" s="19">
        <f>IF(2026-Q$3&gt;IF($D277="",2026,$D277),IF(Q$3=12,0.1*$G277,""),IF(2026-Q$4&lt;$C277,"",Q$4*$G277))</f>
        <v>28858</v>
      </c>
      <c r="R277" s="19">
        <f>IF(2026-R$3&gt;IF($D277="",2026,$D277),IF(R$3=12,0.1*$G277,""),IF(2026-R$4&lt;$C277,"",R$4*$G277))</f>
        <v>34384</v>
      </c>
      <c r="S277" s="19">
        <f>IF(2026-S$3&gt;IF($D277="",2026,$D277),IF(S$3=12,0.1*$G277,""),IF(2026-S$4&lt;$C277,"",S$4*$G277))</f>
        <v>41138</v>
      </c>
      <c r="T277" s="19">
        <f>IF(2026-T$3&gt;IF($D277="",2026,$D277),IF(T$3=12,0.1*$G277,""),IF(2026-T$4&lt;$C277,"",T$4*$G277))</f>
        <v>51576</v>
      </c>
    </row>
    <row r="278" spans="1:20" s="18" customFormat="1" ht="12" customHeight="1" x14ac:dyDescent="0.2">
      <c r="A278" s="17"/>
      <c r="B278" s="16" t="s">
        <v>177</v>
      </c>
      <c r="C278" s="13">
        <v>2015</v>
      </c>
      <c r="D278" s="13"/>
      <c r="E278" s="13">
        <v>2995</v>
      </c>
      <c r="F278" s="13">
        <v>380</v>
      </c>
      <c r="G278" s="21">
        <v>81900</v>
      </c>
      <c r="H278" s="20"/>
      <c r="I278" s="19">
        <f>IF(2026-I$3&gt;IF($D278="",2026,$D278),IF(I$3=12,0.1*$G278,""),IF(2026-I$4&lt;$C278,"",I$4*$G278))</f>
        <v>8190</v>
      </c>
      <c r="J278" s="19">
        <f>IF(2026-J$3&gt;IF($D278="",2026,$D278),IF(J$3=12,0.1*$G278,""),IF(2026-J$4&lt;$C278,"",J$4*$G278))</f>
        <v>10647</v>
      </c>
      <c r="K278" s="19">
        <f>IF(2026-K$3&gt;IF($D278="",2026,$D278),IF(K$3=12,0.1*$G278,""),IF(2026-K$4&lt;$C278,"",K$4*$G278))</f>
        <v>13923.000000000002</v>
      </c>
      <c r="L278" s="19">
        <f>IF(2026-L$3&gt;IF($D278="",2026,$D278),IF(L$3=12,0.1*$G278,""),IF(2026-L$4&lt;$C278,"",L$4*$G278))</f>
        <v>15561</v>
      </c>
      <c r="M278" s="19">
        <f>IF(2026-M$3&gt;IF($D278="",2026,$D278),IF(M$3=12,0.1*$G278,""),IF(2026-M$4&lt;$C278,"",M$4*$G278))</f>
        <v>19656</v>
      </c>
      <c r="N278" s="19">
        <f>IF(2026-N$3&gt;IF($D278="",2026,$D278),IF(N$3=12,0.1*$G278,""),IF(2026-N$4&lt;$C278,"",N$4*$G278))</f>
        <v>22932.000000000004</v>
      </c>
      <c r="O278" s="19">
        <f>IF(2026-O$3&gt;IF($D278="",2026,$D278),IF(O$3=12,0.1*$G278,""),IF(2026-O$4&lt;$C278,"",O$4*$G278))</f>
        <v>27846.000000000004</v>
      </c>
      <c r="P278" s="19">
        <f>IF(2026-P$3&gt;IF($D278="",2026,$D278),IF(P$3=12,0.1*$G278,""),IF(2026-P$4&lt;$C278,"",P$4*$G278))</f>
        <v>31941</v>
      </c>
      <c r="Q278" s="19">
        <f>IF(2026-Q$3&gt;IF($D278="",2026,$D278),IF(Q$3=12,0.1*$G278,""),IF(2026-Q$4&lt;$C278,"",Q$4*$G278))</f>
        <v>38493</v>
      </c>
      <c r="R278" s="19">
        <f>IF(2026-R$3&gt;IF($D278="",2026,$D278),IF(R$3=12,0.1*$G278,""),IF(2026-R$4&lt;$C278,"",R$4*$G278))</f>
        <v>45864.000000000007</v>
      </c>
      <c r="S278" s="19">
        <f>IF(2026-S$3&gt;IF($D278="",2026,$D278),IF(S$3=12,0.1*$G278,""),IF(2026-S$4&lt;$C278,"",S$4*$G278))</f>
        <v>54873</v>
      </c>
      <c r="T278" s="19">
        <f>IF(2026-T$3&gt;IF($D278="",2026,$D278),IF(T$3=12,0.1*$G278,""),IF(2026-T$4&lt;$C278,"",T$4*$G278))</f>
        <v>68796</v>
      </c>
    </row>
    <row r="279" spans="1:20" s="18" customFormat="1" ht="12" customHeight="1" x14ac:dyDescent="0.2">
      <c r="A279" s="17"/>
      <c r="B279" s="16" t="s">
        <v>176</v>
      </c>
      <c r="C279" s="13">
        <v>2015</v>
      </c>
      <c r="D279" s="13"/>
      <c r="E279" s="13">
        <v>3604</v>
      </c>
      <c r="F279" s="13">
        <v>441</v>
      </c>
      <c r="G279" s="21">
        <v>100600</v>
      </c>
      <c r="H279" s="20"/>
      <c r="I279" s="19">
        <f>IF(2026-I$3&gt;IF($D279="",2026,$D279),IF(I$3=12,0.1*$G279,""),IF(2026-I$4&lt;$C279,"",I$4*$G279))</f>
        <v>10060</v>
      </c>
      <c r="J279" s="19">
        <f>IF(2026-J$3&gt;IF($D279="",2026,$D279),IF(J$3=12,0.1*$G279,""),IF(2026-J$4&lt;$C279,"",J$4*$G279))</f>
        <v>13078</v>
      </c>
      <c r="K279" s="19">
        <f>IF(2026-K$3&gt;IF($D279="",2026,$D279),IF(K$3=12,0.1*$G279,""),IF(2026-K$4&lt;$C279,"",K$4*$G279))</f>
        <v>17102</v>
      </c>
      <c r="L279" s="19">
        <f>IF(2026-L$3&gt;IF($D279="",2026,$D279),IF(L$3=12,0.1*$G279,""),IF(2026-L$4&lt;$C279,"",L$4*$G279))</f>
        <v>19114</v>
      </c>
      <c r="M279" s="19">
        <f>IF(2026-M$3&gt;IF($D279="",2026,$D279),IF(M$3=12,0.1*$G279,""),IF(2026-M$4&lt;$C279,"",M$4*$G279))</f>
        <v>24144</v>
      </c>
      <c r="N279" s="19">
        <f>IF(2026-N$3&gt;IF($D279="",2026,$D279),IF(N$3=12,0.1*$G279,""),IF(2026-N$4&lt;$C279,"",N$4*$G279))</f>
        <v>28168.000000000004</v>
      </c>
      <c r="O279" s="19">
        <f>IF(2026-O$3&gt;IF($D279="",2026,$D279),IF(O$3=12,0.1*$G279,""),IF(2026-O$4&lt;$C279,"",O$4*$G279))</f>
        <v>34204</v>
      </c>
      <c r="P279" s="19">
        <f>IF(2026-P$3&gt;IF($D279="",2026,$D279),IF(P$3=12,0.1*$G279,""),IF(2026-P$4&lt;$C279,"",P$4*$G279))</f>
        <v>39234</v>
      </c>
      <c r="Q279" s="19">
        <f>IF(2026-Q$3&gt;IF($D279="",2026,$D279),IF(Q$3=12,0.1*$G279,""),IF(2026-Q$4&lt;$C279,"",Q$4*$G279))</f>
        <v>47282</v>
      </c>
      <c r="R279" s="19">
        <f>IF(2026-R$3&gt;IF($D279="",2026,$D279),IF(R$3=12,0.1*$G279,""),IF(2026-R$4&lt;$C279,"",R$4*$G279))</f>
        <v>56336.000000000007</v>
      </c>
      <c r="S279" s="19">
        <f>IF(2026-S$3&gt;IF($D279="",2026,$D279),IF(S$3=12,0.1*$G279,""),IF(2026-S$4&lt;$C279,"",S$4*$G279))</f>
        <v>67402</v>
      </c>
      <c r="T279" s="19">
        <f>IF(2026-T$3&gt;IF($D279="",2026,$D279),IF(T$3=12,0.1*$G279,""),IF(2026-T$4&lt;$C279,"",T$4*$G279))</f>
        <v>84504</v>
      </c>
    </row>
    <row r="280" spans="1:20" s="18" customFormat="1" ht="12" customHeight="1" x14ac:dyDescent="0.2">
      <c r="A280" s="17"/>
      <c r="B280" s="16" t="s">
        <v>175</v>
      </c>
      <c r="C280" s="13">
        <v>2015</v>
      </c>
      <c r="D280" s="13"/>
      <c r="E280" s="13">
        <v>4806</v>
      </c>
      <c r="F280" s="13">
        <v>570</v>
      </c>
      <c r="G280" s="21">
        <v>169400</v>
      </c>
      <c r="H280" s="20"/>
      <c r="I280" s="19">
        <f>IF(2026-I$3&gt;IF($D280="",2026,$D280),IF(I$3=12,0.1*$G280,""),IF(2026-I$4&lt;$C280,"",I$4*$G280))</f>
        <v>16940</v>
      </c>
      <c r="J280" s="19">
        <f>IF(2026-J$3&gt;IF($D280="",2026,$D280),IF(J$3=12,0.1*$G280,""),IF(2026-J$4&lt;$C280,"",J$4*$G280))</f>
        <v>22022</v>
      </c>
      <c r="K280" s="19">
        <f>IF(2026-K$3&gt;IF($D280="",2026,$D280),IF(K$3=12,0.1*$G280,""),IF(2026-K$4&lt;$C280,"",K$4*$G280))</f>
        <v>28798.000000000004</v>
      </c>
      <c r="L280" s="19">
        <f>IF(2026-L$3&gt;IF($D280="",2026,$D280),IF(L$3=12,0.1*$G280,""),IF(2026-L$4&lt;$C280,"",L$4*$G280))</f>
        <v>32186</v>
      </c>
      <c r="M280" s="19">
        <f>IF(2026-M$3&gt;IF($D280="",2026,$D280),IF(M$3=12,0.1*$G280,""),IF(2026-M$4&lt;$C280,"",M$4*$G280))</f>
        <v>40656</v>
      </c>
      <c r="N280" s="19">
        <f>IF(2026-N$3&gt;IF($D280="",2026,$D280),IF(N$3=12,0.1*$G280,""),IF(2026-N$4&lt;$C280,"",N$4*$G280))</f>
        <v>47432.000000000007</v>
      </c>
      <c r="O280" s="19">
        <f>IF(2026-O$3&gt;IF($D280="",2026,$D280),IF(O$3=12,0.1*$G280,""),IF(2026-O$4&lt;$C280,"",O$4*$G280))</f>
        <v>57596.000000000007</v>
      </c>
      <c r="P280" s="19">
        <f>IF(2026-P$3&gt;IF($D280="",2026,$D280),IF(P$3=12,0.1*$G280,""),IF(2026-P$4&lt;$C280,"",P$4*$G280))</f>
        <v>66066</v>
      </c>
      <c r="Q280" s="19">
        <f>IF(2026-Q$3&gt;IF($D280="",2026,$D280),IF(Q$3=12,0.1*$G280,""),IF(2026-Q$4&lt;$C280,"",Q$4*$G280))</f>
        <v>79618</v>
      </c>
      <c r="R280" s="19">
        <f>IF(2026-R$3&gt;IF($D280="",2026,$D280),IF(R$3=12,0.1*$G280,""),IF(2026-R$4&lt;$C280,"",R$4*$G280))</f>
        <v>94864.000000000015</v>
      </c>
      <c r="S280" s="19">
        <f>IF(2026-S$3&gt;IF($D280="",2026,$D280),IF(S$3=12,0.1*$G280,""),IF(2026-S$4&lt;$C280,"",S$4*$G280))</f>
        <v>113498</v>
      </c>
      <c r="T280" s="19">
        <f>IF(2026-T$3&gt;IF($D280="",2026,$D280),IF(T$3=12,0.1*$G280,""),IF(2026-T$4&lt;$C280,"",T$4*$G280))</f>
        <v>142296</v>
      </c>
    </row>
    <row r="281" spans="1:20" s="18" customFormat="1" ht="12" customHeight="1" x14ac:dyDescent="0.2">
      <c r="A281" s="17"/>
      <c r="B281" s="16" t="s">
        <v>174</v>
      </c>
      <c r="C281" s="13">
        <v>2017</v>
      </c>
      <c r="D281" s="13"/>
      <c r="E281" s="13">
        <v>2967</v>
      </c>
      <c r="F281" s="13">
        <v>262</v>
      </c>
      <c r="G281" s="21">
        <v>65900</v>
      </c>
      <c r="H281" s="20"/>
      <c r="I281" s="19">
        <f>IF(2026-I$3&gt;IF($D281="",2026,$D281),IF(I$3=12,0.1*$G281,""),IF(2026-I$4&lt;$C281,"",I$4*$G281))</f>
        <v>6590</v>
      </c>
      <c r="J281" s="19">
        <f>IF(2026-J$3&gt;IF($D281="",2026,$D281),IF(J$3=12,0.1*$G281,""),IF(2026-J$4&lt;$C281,"",J$4*$G281))</f>
        <v>8567</v>
      </c>
      <c r="K281" s="19">
        <f>IF(2026-K$3&gt;IF($D281="",2026,$D281),IF(K$3=12,0.1*$G281,""),IF(2026-K$4&lt;$C281,"",K$4*$G281))</f>
        <v>11203</v>
      </c>
      <c r="L281" s="19">
        <f>IF(2026-L$3&gt;IF($D281="",2026,$D281),IF(L$3=12,0.1*$G281,""),IF(2026-L$4&lt;$C281,"",L$4*$G281))</f>
        <v>12521</v>
      </c>
      <c r="M281" s="19">
        <f>IF(2026-M$3&gt;IF($D281="",2026,$D281),IF(M$3=12,0.1*$G281,""),IF(2026-M$4&lt;$C281,"",M$4*$G281))</f>
        <v>15816</v>
      </c>
      <c r="N281" s="19">
        <f>IF(2026-N$3&gt;IF($D281="",2026,$D281),IF(N$3=12,0.1*$G281,""),IF(2026-N$4&lt;$C281,"",N$4*$G281))</f>
        <v>18452</v>
      </c>
      <c r="O281" s="19">
        <f>IF(2026-O$3&gt;IF($D281="",2026,$D281),IF(O$3=12,0.1*$G281,""),IF(2026-O$4&lt;$C281,"",O$4*$G281))</f>
        <v>22406</v>
      </c>
      <c r="P281" s="19">
        <f>IF(2026-P$3&gt;IF($D281="",2026,$D281),IF(P$3=12,0.1*$G281,""),IF(2026-P$4&lt;$C281,"",P$4*$G281))</f>
        <v>25701</v>
      </c>
      <c r="Q281" s="19">
        <f>IF(2026-Q$3&gt;IF($D281="",2026,$D281),IF(Q$3=12,0.1*$G281,""),IF(2026-Q$4&lt;$C281,"",Q$4*$G281))</f>
        <v>30973</v>
      </c>
      <c r="R281" s="19">
        <f>IF(2026-R$3&gt;IF($D281="",2026,$D281),IF(R$3=12,0.1*$G281,""),IF(2026-R$4&lt;$C281,"",R$4*$G281))</f>
        <v>36904</v>
      </c>
      <c r="S281" s="19">
        <f>IF(2026-S$3&gt;IF($D281="",2026,$D281),IF(S$3=12,0.1*$G281,""),IF(2026-S$4&lt;$C281,"",S$4*$G281))</f>
        <v>44153</v>
      </c>
      <c r="T281" s="19">
        <f>IF(2026-T$3&gt;IF($D281="",2026,$D281),IF(T$3=12,0.1*$G281,""),IF(2026-T$4&lt;$C281,"",T$4*$G281))</f>
        <v>55356</v>
      </c>
    </row>
    <row r="282" spans="1:20" s="18" customFormat="1" ht="12" customHeight="1" x14ac:dyDescent="0.2">
      <c r="A282" s="17"/>
      <c r="B282" s="16" t="s">
        <v>173</v>
      </c>
      <c r="C282" s="13">
        <v>2017</v>
      </c>
      <c r="D282" s="13"/>
      <c r="E282" s="13">
        <v>2967</v>
      </c>
      <c r="F282" s="13">
        <v>262</v>
      </c>
      <c r="G282" s="21">
        <v>73500</v>
      </c>
      <c r="H282" s="20"/>
      <c r="I282" s="19">
        <f>IF(2026-I$3&gt;IF($D282="",2026,$D282),IF(I$3=12,0.1*$G282,""),IF(2026-I$4&lt;$C282,"",I$4*$G282))</f>
        <v>7350</v>
      </c>
      <c r="J282" s="19">
        <f>IF(2026-J$3&gt;IF($D282="",2026,$D282),IF(J$3=12,0.1*$G282,""),IF(2026-J$4&lt;$C282,"",J$4*$G282))</f>
        <v>9555</v>
      </c>
      <c r="K282" s="19">
        <f>IF(2026-K$3&gt;IF($D282="",2026,$D282),IF(K$3=12,0.1*$G282,""),IF(2026-K$4&lt;$C282,"",K$4*$G282))</f>
        <v>12495</v>
      </c>
      <c r="L282" s="19">
        <f>IF(2026-L$3&gt;IF($D282="",2026,$D282),IF(L$3=12,0.1*$G282,""),IF(2026-L$4&lt;$C282,"",L$4*$G282))</f>
        <v>13965</v>
      </c>
      <c r="M282" s="19">
        <f>IF(2026-M$3&gt;IF($D282="",2026,$D282),IF(M$3=12,0.1*$G282,""),IF(2026-M$4&lt;$C282,"",M$4*$G282))</f>
        <v>17640</v>
      </c>
      <c r="N282" s="19">
        <f>IF(2026-N$3&gt;IF($D282="",2026,$D282),IF(N$3=12,0.1*$G282,""),IF(2026-N$4&lt;$C282,"",N$4*$G282))</f>
        <v>20580.000000000004</v>
      </c>
      <c r="O282" s="19">
        <f>IF(2026-O$3&gt;IF($D282="",2026,$D282),IF(O$3=12,0.1*$G282,""),IF(2026-O$4&lt;$C282,"",O$4*$G282))</f>
        <v>24990</v>
      </c>
      <c r="P282" s="19">
        <f>IF(2026-P$3&gt;IF($D282="",2026,$D282),IF(P$3=12,0.1*$G282,""),IF(2026-P$4&lt;$C282,"",P$4*$G282))</f>
        <v>28665</v>
      </c>
      <c r="Q282" s="19">
        <f>IF(2026-Q$3&gt;IF($D282="",2026,$D282),IF(Q$3=12,0.1*$G282,""),IF(2026-Q$4&lt;$C282,"",Q$4*$G282))</f>
        <v>34545</v>
      </c>
      <c r="R282" s="19">
        <f>IF(2026-R$3&gt;IF($D282="",2026,$D282),IF(R$3=12,0.1*$G282,""),IF(2026-R$4&lt;$C282,"",R$4*$G282))</f>
        <v>41160.000000000007</v>
      </c>
      <c r="S282" s="19">
        <f>IF(2026-S$3&gt;IF($D282="",2026,$D282),IF(S$3=12,0.1*$G282,""),IF(2026-S$4&lt;$C282,"",S$4*$G282))</f>
        <v>49245</v>
      </c>
      <c r="T282" s="19">
        <f>IF(2026-T$3&gt;IF($D282="",2026,$D282),IF(T$3=12,0.1*$G282,""),IF(2026-T$4&lt;$C282,"",T$4*$G282))</f>
        <v>61740</v>
      </c>
    </row>
    <row r="283" spans="1:20" s="18" customFormat="1" ht="12" customHeight="1" x14ac:dyDescent="0.2">
      <c r="A283" s="17"/>
      <c r="B283" s="16" t="s">
        <v>172</v>
      </c>
      <c r="C283" s="13">
        <v>2017</v>
      </c>
      <c r="D283" s="13"/>
      <c r="E283" s="13">
        <v>3598</v>
      </c>
      <c r="F283" s="13">
        <v>300</v>
      </c>
      <c r="G283" s="21">
        <v>67600</v>
      </c>
      <c r="H283" s="20"/>
      <c r="I283" s="19">
        <f>IF(2026-I$3&gt;IF($D283="",2026,$D283),IF(I$3=12,0.1*$G283,""),IF(2026-I$4&lt;$C283,"",I$4*$G283))</f>
        <v>6760</v>
      </c>
      <c r="J283" s="19">
        <f>IF(2026-J$3&gt;IF($D283="",2026,$D283),IF(J$3=12,0.1*$G283,""),IF(2026-J$4&lt;$C283,"",J$4*$G283))</f>
        <v>8788</v>
      </c>
      <c r="K283" s="19">
        <f>IF(2026-K$3&gt;IF($D283="",2026,$D283),IF(K$3=12,0.1*$G283,""),IF(2026-K$4&lt;$C283,"",K$4*$G283))</f>
        <v>11492</v>
      </c>
      <c r="L283" s="19">
        <f>IF(2026-L$3&gt;IF($D283="",2026,$D283),IF(L$3=12,0.1*$G283,""),IF(2026-L$4&lt;$C283,"",L$4*$G283))</f>
        <v>12844</v>
      </c>
      <c r="M283" s="19">
        <f>IF(2026-M$3&gt;IF($D283="",2026,$D283),IF(M$3=12,0.1*$G283,""),IF(2026-M$4&lt;$C283,"",M$4*$G283))</f>
        <v>16224</v>
      </c>
      <c r="N283" s="19">
        <f>IF(2026-N$3&gt;IF($D283="",2026,$D283),IF(N$3=12,0.1*$G283,""),IF(2026-N$4&lt;$C283,"",N$4*$G283))</f>
        <v>18928</v>
      </c>
      <c r="O283" s="19">
        <f>IF(2026-O$3&gt;IF($D283="",2026,$D283),IF(O$3=12,0.1*$G283,""),IF(2026-O$4&lt;$C283,"",O$4*$G283))</f>
        <v>22984</v>
      </c>
      <c r="P283" s="19">
        <f>IF(2026-P$3&gt;IF($D283="",2026,$D283),IF(P$3=12,0.1*$G283,""),IF(2026-P$4&lt;$C283,"",P$4*$G283))</f>
        <v>26364</v>
      </c>
      <c r="Q283" s="19">
        <f>IF(2026-Q$3&gt;IF($D283="",2026,$D283),IF(Q$3=12,0.1*$G283,""),IF(2026-Q$4&lt;$C283,"",Q$4*$G283))</f>
        <v>31772</v>
      </c>
      <c r="R283" s="19">
        <f>IF(2026-R$3&gt;IF($D283="",2026,$D283),IF(R$3=12,0.1*$G283,""),IF(2026-R$4&lt;$C283,"",R$4*$G283))</f>
        <v>37856</v>
      </c>
      <c r="S283" s="19">
        <f>IF(2026-S$3&gt;IF($D283="",2026,$D283),IF(S$3=12,0.1*$G283,""),IF(2026-S$4&lt;$C283,"",S$4*$G283))</f>
        <v>45292</v>
      </c>
      <c r="T283" s="19">
        <f>IF(2026-T$3&gt;IF($D283="",2026,$D283),IF(T$3=12,0.1*$G283,""),IF(2026-T$4&lt;$C283,"",T$4*$G283))</f>
        <v>56784</v>
      </c>
    </row>
    <row r="284" spans="1:20" s="18" customFormat="1" ht="12" customHeight="1" x14ac:dyDescent="0.2">
      <c r="A284" s="17"/>
      <c r="B284" s="16" t="s">
        <v>171</v>
      </c>
      <c r="C284" s="13">
        <v>2017</v>
      </c>
      <c r="D284" s="13"/>
      <c r="E284" s="13">
        <v>2995</v>
      </c>
      <c r="F284" s="13">
        <v>340</v>
      </c>
      <c r="G284" s="21">
        <v>76800</v>
      </c>
      <c r="H284" s="20"/>
      <c r="I284" s="19">
        <f>IF(2026-I$3&gt;IF($D284="",2026,$D284),IF(I$3=12,0.1*$G284,""),IF(2026-I$4&lt;$C284,"",I$4*$G284))</f>
        <v>7680</v>
      </c>
      <c r="J284" s="19">
        <f>IF(2026-J$3&gt;IF($D284="",2026,$D284),IF(J$3=12,0.1*$G284,""),IF(2026-J$4&lt;$C284,"",J$4*$G284))</f>
        <v>9984</v>
      </c>
      <c r="K284" s="19">
        <f>IF(2026-K$3&gt;IF($D284="",2026,$D284),IF(K$3=12,0.1*$G284,""),IF(2026-K$4&lt;$C284,"",K$4*$G284))</f>
        <v>13056.000000000002</v>
      </c>
      <c r="L284" s="19">
        <f>IF(2026-L$3&gt;IF($D284="",2026,$D284),IF(L$3=12,0.1*$G284,""),IF(2026-L$4&lt;$C284,"",L$4*$G284))</f>
        <v>14592</v>
      </c>
      <c r="M284" s="19">
        <f>IF(2026-M$3&gt;IF($D284="",2026,$D284),IF(M$3=12,0.1*$G284,""),IF(2026-M$4&lt;$C284,"",M$4*$G284))</f>
        <v>18432</v>
      </c>
      <c r="N284" s="19">
        <f>IF(2026-N$3&gt;IF($D284="",2026,$D284),IF(N$3=12,0.1*$G284,""),IF(2026-N$4&lt;$C284,"",N$4*$G284))</f>
        <v>21504.000000000004</v>
      </c>
      <c r="O284" s="19">
        <f>IF(2026-O$3&gt;IF($D284="",2026,$D284),IF(O$3=12,0.1*$G284,""),IF(2026-O$4&lt;$C284,"",O$4*$G284))</f>
        <v>26112.000000000004</v>
      </c>
      <c r="P284" s="19">
        <f>IF(2026-P$3&gt;IF($D284="",2026,$D284),IF(P$3=12,0.1*$G284,""),IF(2026-P$4&lt;$C284,"",P$4*$G284))</f>
        <v>29952</v>
      </c>
      <c r="Q284" s="19">
        <f>IF(2026-Q$3&gt;IF($D284="",2026,$D284),IF(Q$3=12,0.1*$G284,""),IF(2026-Q$4&lt;$C284,"",Q$4*$G284))</f>
        <v>36096</v>
      </c>
      <c r="R284" s="19">
        <f>IF(2026-R$3&gt;IF($D284="",2026,$D284),IF(R$3=12,0.1*$G284,""),IF(2026-R$4&lt;$C284,"",R$4*$G284))</f>
        <v>43008.000000000007</v>
      </c>
      <c r="S284" s="19">
        <f>IF(2026-S$3&gt;IF($D284="",2026,$D284),IF(S$3=12,0.1*$G284,""),IF(2026-S$4&lt;$C284,"",S$4*$G284))</f>
        <v>51456</v>
      </c>
      <c r="T284" s="19">
        <f>IF(2026-T$3&gt;IF($D284="",2026,$D284),IF(T$3=12,0.1*$G284,""),IF(2026-T$4&lt;$C284,"",T$4*$G284))</f>
        <v>64512</v>
      </c>
    </row>
    <row r="285" spans="1:20" s="18" customFormat="1" ht="12" customHeight="1" x14ac:dyDescent="0.2">
      <c r="A285" s="17"/>
      <c r="B285" s="16" t="s">
        <v>170</v>
      </c>
      <c r="C285" s="13">
        <v>2017</v>
      </c>
      <c r="D285" s="13"/>
      <c r="E285" s="13">
        <v>4134</v>
      </c>
      <c r="F285" s="13">
        <v>385</v>
      </c>
      <c r="G285" s="21">
        <v>84300</v>
      </c>
      <c r="H285" s="20"/>
      <c r="I285" s="19">
        <f>IF(2026-I$3&gt;IF($D285="",2026,$D285),IF(I$3=12,0.1*$G285,""),IF(2026-I$4&lt;$C285,"",I$4*$G285))</f>
        <v>8430</v>
      </c>
      <c r="J285" s="19">
        <f>IF(2026-J$3&gt;IF($D285="",2026,$D285),IF(J$3=12,0.1*$G285,""),IF(2026-J$4&lt;$C285,"",J$4*$G285))</f>
        <v>10959</v>
      </c>
      <c r="K285" s="19">
        <f>IF(2026-K$3&gt;IF($D285="",2026,$D285),IF(K$3=12,0.1*$G285,""),IF(2026-K$4&lt;$C285,"",K$4*$G285))</f>
        <v>14331.000000000002</v>
      </c>
      <c r="L285" s="19">
        <f>IF(2026-L$3&gt;IF($D285="",2026,$D285),IF(L$3=12,0.1*$G285,""),IF(2026-L$4&lt;$C285,"",L$4*$G285))</f>
        <v>16017</v>
      </c>
      <c r="M285" s="19">
        <f>IF(2026-M$3&gt;IF($D285="",2026,$D285),IF(M$3=12,0.1*$G285,""),IF(2026-M$4&lt;$C285,"",M$4*$G285))</f>
        <v>20232</v>
      </c>
      <c r="N285" s="19">
        <f>IF(2026-N$3&gt;IF($D285="",2026,$D285),IF(N$3=12,0.1*$G285,""),IF(2026-N$4&lt;$C285,"",N$4*$G285))</f>
        <v>23604.000000000004</v>
      </c>
      <c r="O285" s="19">
        <f>IF(2026-O$3&gt;IF($D285="",2026,$D285),IF(O$3=12,0.1*$G285,""),IF(2026-O$4&lt;$C285,"",O$4*$G285))</f>
        <v>28662.000000000004</v>
      </c>
      <c r="P285" s="19">
        <f>IF(2026-P$3&gt;IF($D285="",2026,$D285),IF(P$3=12,0.1*$G285,""),IF(2026-P$4&lt;$C285,"",P$4*$G285))</f>
        <v>32877</v>
      </c>
      <c r="Q285" s="19">
        <f>IF(2026-Q$3&gt;IF($D285="",2026,$D285),IF(Q$3=12,0.1*$G285,""),IF(2026-Q$4&lt;$C285,"",Q$4*$G285))</f>
        <v>39621</v>
      </c>
      <c r="R285" s="19">
        <f>IF(2026-R$3&gt;IF($D285="",2026,$D285),IF(R$3=12,0.1*$G285,""),IF(2026-R$4&lt;$C285,"",R$4*$G285))</f>
        <v>47208.000000000007</v>
      </c>
      <c r="S285" s="19">
        <f>IF(2026-S$3&gt;IF($D285="",2026,$D285),IF(S$3=12,0.1*$G285,""),IF(2026-S$4&lt;$C285,"",S$4*$G285))</f>
        <v>56481</v>
      </c>
      <c r="T285" s="19">
        <f>IF(2026-T$3&gt;IF($D285="",2026,$D285),IF(T$3=12,0.1*$G285,""),IF(2026-T$4&lt;$C285,"",T$4*$G285))</f>
        <v>70812</v>
      </c>
    </row>
    <row r="286" spans="1:20" s="18" customFormat="1" ht="12" customHeight="1" x14ac:dyDescent="0.2">
      <c r="A286" s="17"/>
      <c r="B286" s="16" t="s">
        <v>169</v>
      </c>
      <c r="C286" s="13">
        <v>2017</v>
      </c>
      <c r="D286" s="13"/>
      <c r="E286" s="13">
        <v>4134</v>
      </c>
      <c r="F286" s="13">
        <v>385</v>
      </c>
      <c r="G286" s="21">
        <v>92300</v>
      </c>
      <c r="H286" s="20"/>
      <c r="I286" s="19">
        <f>IF(2026-I$3&gt;IF($D286="",2026,$D286),IF(I$3=12,0.1*$G286,""),IF(2026-I$4&lt;$C286,"",I$4*$G286))</f>
        <v>9230</v>
      </c>
      <c r="J286" s="19">
        <f>IF(2026-J$3&gt;IF($D286="",2026,$D286),IF(J$3=12,0.1*$G286,""),IF(2026-J$4&lt;$C286,"",J$4*$G286))</f>
        <v>11999</v>
      </c>
      <c r="K286" s="19">
        <f>IF(2026-K$3&gt;IF($D286="",2026,$D286),IF(K$3=12,0.1*$G286,""),IF(2026-K$4&lt;$C286,"",K$4*$G286))</f>
        <v>15691.000000000002</v>
      </c>
      <c r="L286" s="19">
        <f>IF(2026-L$3&gt;IF($D286="",2026,$D286),IF(L$3=12,0.1*$G286,""),IF(2026-L$4&lt;$C286,"",L$4*$G286))</f>
        <v>17537</v>
      </c>
      <c r="M286" s="19">
        <f>IF(2026-M$3&gt;IF($D286="",2026,$D286),IF(M$3=12,0.1*$G286,""),IF(2026-M$4&lt;$C286,"",M$4*$G286))</f>
        <v>22152</v>
      </c>
      <c r="N286" s="19">
        <f>IF(2026-N$3&gt;IF($D286="",2026,$D286),IF(N$3=12,0.1*$G286,""),IF(2026-N$4&lt;$C286,"",N$4*$G286))</f>
        <v>25844.000000000004</v>
      </c>
      <c r="O286" s="19">
        <f>IF(2026-O$3&gt;IF($D286="",2026,$D286),IF(O$3=12,0.1*$G286,""),IF(2026-O$4&lt;$C286,"",O$4*$G286))</f>
        <v>31382.000000000004</v>
      </c>
      <c r="P286" s="19">
        <f>IF(2026-P$3&gt;IF($D286="",2026,$D286),IF(P$3=12,0.1*$G286,""),IF(2026-P$4&lt;$C286,"",P$4*$G286))</f>
        <v>35997</v>
      </c>
      <c r="Q286" s="19">
        <f>IF(2026-Q$3&gt;IF($D286="",2026,$D286),IF(Q$3=12,0.1*$G286,""),IF(2026-Q$4&lt;$C286,"",Q$4*$G286))</f>
        <v>43381</v>
      </c>
      <c r="R286" s="19">
        <f>IF(2026-R$3&gt;IF($D286="",2026,$D286),IF(R$3=12,0.1*$G286,""),IF(2026-R$4&lt;$C286,"",R$4*$G286))</f>
        <v>51688.000000000007</v>
      </c>
      <c r="S286" s="19">
        <f>IF(2026-S$3&gt;IF($D286="",2026,$D286),IF(S$3=12,0.1*$G286,""),IF(2026-S$4&lt;$C286,"",S$4*$G286))</f>
        <v>61841.000000000007</v>
      </c>
      <c r="T286" s="19">
        <f>IF(2026-T$3&gt;IF($D286="",2026,$D286),IF(T$3=12,0.1*$G286,""),IF(2026-T$4&lt;$C286,"",T$4*$G286))</f>
        <v>77532</v>
      </c>
    </row>
    <row r="287" spans="1:20" s="18" customFormat="1" ht="12" customHeight="1" x14ac:dyDescent="0.2">
      <c r="A287" s="17"/>
      <c r="B287" s="16" t="s">
        <v>168</v>
      </c>
      <c r="C287" s="13">
        <v>2017</v>
      </c>
      <c r="D287" s="13"/>
      <c r="E287" s="13">
        <v>2995</v>
      </c>
      <c r="F287" s="13">
        <v>416</v>
      </c>
      <c r="G287" s="21">
        <v>74600</v>
      </c>
      <c r="H287" s="20"/>
      <c r="I287" s="19">
        <f>IF(2026-I$3&gt;IF($D287="",2026,$D287),IF(I$3=12,0.1*$G287,""),IF(2026-I$4&lt;$C287,"",I$4*$G287))</f>
        <v>7460</v>
      </c>
      <c r="J287" s="19">
        <f>IF(2026-J$3&gt;IF($D287="",2026,$D287),IF(J$3=12,0.1*$G287,""),IF(2026-J$4&lt;$C287,"",J$4*$G287))</f>
        <v>9698</v>
      </c>
      <c r="K287" s="19">
        <f>IF(2026-K$3&gt;IF($D287="",2026,$D287),IF(K$3=12,0.1*$G287,""),IF(2026-K$4&lt;$C287,"",K$4*$G287))</f>
        <v>12682.000000000002</v>
      </c>
      <c r="L287" s="19">
        <f>IF(2026-L$3&gt;IF($D287="",2026,$D287),IF(L$3=12,0.1*$G287,""),IF(2026-L$4&lt;$C287,"",L$4*$G287))</f>
        <v>14174</v>
      </c>
      <c r="M287" s="19">
        <f>IF(2026-M$3&gt;IF($D287="",2026,$D287),IF(M$3=12,0.1*$G287,""),IF(2026-M$4&lt;$C287,"",M$4*$G287))</f>
        <v>17904</v>
      </c>
      <c r="N287" s="19">
        <f>IF(2026-N$3&gt;IF($D287="",2026,$D287),IF(N$3=12,0.1*$G287,""),IF(2026-N$4&lt;$C287,"",N$4*$G287))</f>
        <v>20888.000000000004</v>
      </c>
      <c r="O287" s="19">
        <f>IF(2026-O$3&gt;IF($D287="",2026,$D287),IF(O$3=12,0.1*$G287,""),IF(2026-O$4&lt;$C287,"",O$4*$G287))</f>
        <v>25364.000000000004</v>
      </c>
      <c r="P287" s="19">
        <f>IF(2026-P$3&gt;IF($D287="",2026,$D287),IF(P$3=12,0.1*$G287,""),IF(2026-P$4&lt;$C287,"",P$4*$G287))</f>
        <v>29094</v>
      </c>
      <c r="Q287" s="19">
        <f>IF(2026-Q$3&gt;IF($D287="",2026,$D287),IF(Q$3=12,0.1*$G287,""),IF(2026-Q$4&lt;$C287,"",Q$4*$G287))</f>
        <v>35062</v>
      </c>
      <c r="R287" s="19">
        <f>IF(2026-R$3&gt;IF($D287="",2026,$D287),IF(R$3=12,0.1*$G287,""),IF(2026-R$4&lt;$C287,"",R$4*$G287))</f>
        <v>41776.000000000007</v>
      </c>
      <c r="S287" s="19">
        <f>IF(2026-S$3&gt;IF($D287="",2026,$D287),IF(S$3=12,0.1*$G287,""),IF(2026-S$4&lt;$C287,"",S$4*$G287))</f>
        <v>49982</v>
      </c>
      <c r="T287" s="19">
        <f>IF(2026-T$3&gt;IF($D287="",2026,$D287),IF(T$3=12,0.1*$G287,""),IF(2026-T$4&lt;$C287,"",T$4*$G287))</f>
        <v>62664</v>
      </c>
    </row>
    <row r="288" spans="1:20" s="18" customFormat="1" ht="12" customHeight="1" x14ac:dyDescent="0.2">
      <c r="A288" s="17"/>
      <c r="B288" s="16" t="s">
        <v>167</v>
      </c>
      <c r="C288" s="13">
        <v>2017</v>
      </c>
      <c r="D288" s="13"/>
      <c r="E288" s="13">
        <v>2995</v>
      </c>
      <c r="F288" s="13">
        <v>416</v>
      </c>
      <c r="G288" s="21">
        <v>82000</v>
      </c>
      <c r="H288" s="20"/>
      <c r="I288" s="19">
        <f>IF(2026-I$3&gt;IF($D288="",2026,$D288),IF(I$3=12,0.1*$G288,""),IF(2026-I$4&lt;$C288,"",I$4*$G288))</f>
        <v>8200</v>
      </c>
      <c r="J288" s="19">
        <f>IF(2026-J$3&gt;IF($D288="",2026,$D288),IF(J$3=12,0.1*$G288,""),IF(2026-J$4&lt;$C288,"",J$4*$G288))</f>
        <v>10660</v>
      </c>
      <c r="K288" s="19">
        <f>IF(2026-K$3&gt;IF($D288="",2026,$D288),IF(K$3=12,0.1*$G288,""),IF(2026-K$4&lt;$C288,"",K$4*$G288))</f>
        <v>13940.000000000002</v>
      </c>
      <c r="L288" s="19">
        <f>IF(2026-L$3&gt;IF($D288="",2026,$D288),IF(L$3=12,0.1*$G288,""),IF(2026-L$4&lt;$C288,"",L$4*$G288))</f>
        <v>15580</v>
      </c>
      <c r="M288" s="19">
        <f>IF(2026-M$3&gt;IF($D288="",2026,$D288),IF(M$3=12,0.1*$G288,""),IF(2026-M$4&lt;$C288,"",M$4*$G288))</f>
        <v>19680</v>
      </c>
      <c r="N288" s="19">
        <f>IF(2026-N$3&gt;IF($D288="",2026,$D288),IF(N$3=12,0.1*$G288,""),IF(2026-N$4&lt;$C288,"",N$4*$G288))</f>
        <v>22960.000000000004</v>
      </c>
      <c r="O288" s="19">
        <f>IF(2026-O$3&gt;IF($D288="",2026,$D288),IF(O$3=12,0.1*$G288,""),IF(2026-O$4&lt;$C288,"",O$4*$G288))</f>
        <v>27880.000000000004</v>
      </c>
      <c r="P288" s="19">
        <f>IF(2026-P$3&gt;IF($D288="",2026,$D288),IF(P$3=12,0.1*$G288,""),IF(2026-P$4&lt;$C288,"",P$4*$G288))</f>
        <v>31980</v>
      </c>
      <c r="Q288" s="19">
        <f>IF(2026-Q$3&gt;IF($D288="",2026,$D288),IF(Q$3=12,0.1*$G288,""),IF(2026-Q$4&lt;$C288,"",Q$4*$G288))</f>
        <v>38540</v>
      </c>
      <c r="R288" s="19">
        <f>IF(2026-R$3&gt;IF($D288="",2026,$D288),IF(R$3=12,0.1*$G288,""),IF(2026-R$4&lt;$C288,"",R$4*$G288))</f>
        <v>45920.000000000007</v>
      </c>
      <c r="S288" s="19">
        <f>IF(2026-S$3&gt;IF($D288="",2026,$D288),IF(S$3=12,0.1*$G288,""),IF(2026-S$4&lt;$C288,"",S$4*$G288))</f>
        <v>54940</v>
      </c>
      <c r="T288" s="19">
        <f>IF(2026-T$3&gt;IF($D288="",2026,$D288),IF(T$3=12,0.1*$G288,""),IF(2026-T$4&lt;$C288,"",T$4*$G288))</f>
        <v>68880</v>
      </c>
    </row>
    <row r="289" spans="1:20" s="18" customFormat="1" ht="12" customHeight="1" x14ac:dyDescent="0.2">
      <c r="A289" s="17"/>
      <c r="B289" s="16" t="s">
        <v>166</v>
      </c>
      <c r="C289" s="13">
        <v>2017</v>
      </c>
      <c r="D289" s="13"/>
      <c r="E289" s="13">
        <v>2995</v>
      </c>
      <c r="F289" s="13">
        <v>416</v>
      </c>
      <c r="G289" s="21">
        <v>78300</v>
      </c>
      <c r="H289" s="20"/>
      <c r="I289" s="19">
        <f>IF(2026-I$3&gt;IF($D289="",2026,$D289),IF(I$3=12,0.1*$G289,""),IF(2026-I$4&lt;$C289,"",I$4*$G289))</f>
        <v>7830</v>
      </c>
      <c r="J289" s="19">
        <f>IF(2026-J$3&gt;IF($D289="",2026,$D289),IF(J$3=12,0.1*$G289,""),IF(2026-J$4&lt;$C289,"",J$4*$G289))</f>
        <v>10179</v>
      </c>
      <c r="K289" s="19">
        <f>IF(2026-K$3&gt;IF($D289="",2026,$D289),IF(K$3=12,0.1*$G289,""),IF(2026-K$4&lt;$C289,"",K$4*$G289))</f>
        <v>13311.000000000002</v>
      </c>
      <c r="L289" s="19">
        <f>IF(2026-L$3&gt;IF($D289="",2026,$D289),IF(L$3=12,0.1*$G289,""),IF(2026-L$4&lt;$C289,"",L$4*$G289))</f>
        <v>14877</v>
      </c>
      <c r="M289" s="19">
        <f>IF(2026-M$3&gt;IF($D289="",2026,$D289),IF(M$3=12,0.1*$G289,""),IF(2026-M$4&lt;$C289,"",M$4*$G289))</f>
        <v>18792</v>
      </c>
      <c r="N289" s="19">
        <f>IF(2026-N$3&gt;IF($D289="",2026,$D289),IF(N$3=12,0.1*$G289,""),IF(2026-N$4&lt;$C289,"",N$4*$G289))</f>
        <v>21924.000000000004</v>
      </c>
      <c r="O289" s="19">
        <f>IF(2026-O$3&gt;IF($D289="",2026,$D289),IF(O$3=12,0.1*$G289,""),IF(2026-O$4&lt;$C289,"",O$4*$G289))</f>
        <v>26622.000000000004</v>
      </c>
      <c r="P289" s="19">
        <f>IF(2026-P$3&gt;IF($D289="",2026,$D289),IF(P$3=12,0.1*$G289,""),IF(2026-P$4&lt;$C289,"",P$4*$G289))</f>
        <v>30537</v>
      </c>
      <c r="Q289" s="19">
        <f>IF(2026-Q$3&gt;IF($D289="",2026,$D289),IF(Q$3=12,0.1*$G289,""),IF(2026-Q$4&lt;$C289,"",Q$4*$G289))</f>
        <v>36801</v>
      </c>
      <c r="R289" s="19">
        <f>IF(2026-R$3&gt;IF($D289="",2026,$D289),IF(R$3=12,0.1*$G289,""),IF(2026-R$4&lt;$C289,"",R$4*$G289))</f>
        <v>43848.000000000007</v>
      </c>
      <c r="S289" s="19">
        <f>IF(2026-S$3&gt;IF($D289="",2026,$D289),IF(S$3=12,0.1*$G289,""),IF(2026-S$4&lt;$C289,"",S$4*$G289))</f>
        <v>52461</v>
      </c>
      <c r="T289" s="19">
        <f>IF(2026-T$3&gt;IF($D289="",2026,$D289),IF(T$3=12,0.1*$G289,""),IF(2026-T$4&lt;$C289,"",T$4*$G289))</f>
        <v>65772</v>
      </c>
    </row>
    <row r="290" spans="1:20" s="18" customFormat="1" ht="12" customHeight="1" x14ac:dyDescent="0.2">
      <c r="A290" s="17"/>
      <c r="B290" s="16" t="s">
        <v>165</v>
      </c>
      <c r="C290" s="13">
        <v>2017</v>
      </c>
      <c r="D290" s="13"/>
      <c r="E290" s="13">
        <v>2894</v>
      </c>
      <c r="F290" s="13">
        <v>441</v>
      </c>
      <c r="G290" s="21">
        <v>94000</v>
      </c>
      <c r="H290" s="20"/>
      <c r="I290" s="19">
        <f>IF(2026-I$3&gt;IF($D290="",2026,$D290),IF(I$3=12,0.1*$G290,""),IF(2026-I$4&lt;$C290,"",I$4*$G290))</f>
        <v>9400</v>
      </c>
      <c r="J290" s="19">
        <f>IF(2026-J$3&gt;IF($D290="",2026,$D290),IF(J$3=12,0.1*$G290,""),IF(2026-J$4&lt;$C290,"",J$4*$G290))</f>
        <v>12220</v>
      </c>
      <c r="K290" s="19">
        <f>IF(2026-K$3&gt;IF($D290="",2026,$D290),IF(K$3=12,0.1*$G290,""),IF(2026-K$4&lt;$C290,"",K$4*$G290))</f>
        <v>15980.000000000002</v>
      </c>
      <c r="L290" s="19">
        <f>IF(2026-L$3&gt;IF($D290="",2026,$D290),IF(L$3=12,0.1*$G290,""),IF(2026-L$4&lt;$C290,"",L$4*$G290))</f>
        <v>17860</v>
      </c>
      <c r="M290" s="19">
        <f>IF(2026-M$3&gt;IF($D290="",2026,$D290),IF(M$3=12,0.1*$G290,""),IF(2026-M$4&lt;$C290,"",M$4*$G290))</f>
        <v>22560</v>
      </c>
      <c r="N290" s="19">
        <f>IF(2026-N$3&gt;IF($D290="",2026,$D290),IF(N$3=12,0.1*$G290,""),IF(2026-N$4&lt;$C290,"",N$4*$G290))</f>
        <v>26320.000000000004</v>
      </c>
      <c r="O290" s="19">
        <f>IF(2026-O$3&gt;IF($D290="",2026,$D290),IF(O$3=12,0.1*$G290,""),IF(2026-O$4&lt;$C290,"",O$4*$G290))</f>
        <v>31960.000000000004</v>
      </c>
      <c r="P290" s="19">
        <f>IF(2026-P$3&gt;IF($D290="",2026,$D290),IF(P$3=12,0.1*$G290,""),IF(2026-P$4&lt;$C290,"",P$4*$G290))</f>
        <v>36660</v>
      </c>
      <c r="Q290" s="19">
        <f>IF(2026-Q$3&gt;IF($D290="",2026,$D290),IF(Q$3=12,0.1*$G290,""),IF(2026-Q$4&lt;$C290,"",Q$4*$G290))</f>
        <v>44180</v>
      </c>
      <c r="R290" s="19">
        <f>IF(2026-R$3&gt;IF($D290="",2026,$D290),IF(R$3=12,0.1*$G290,""),IF(2026-R$4&lt;$C290,"",R$4*$G290))</f>
        <v>52640.000000000007</v>
      </c>
      <c r="S290" s="19">
        <f>IF(2026-S$3&gt;IF($D290="",2026,$D290),IF(S$3=12,0.1*$G290,""),IF(2026-S$4&lt;$C290,"",S$4*$G290))</f>
        <v>62980.000000000007</v>
      </c>
      <c r="T290" s="19">
        <f>IF(2026-T$3&gt;IF($D290="",2026,$D290),IF(T$3=12,0.1*$G290,""),IF(2026-T$4&lt;$C290,"",T$4*$G290))</f>
        <v>78960</v>
      </c>
    </row>
    <row r="291" spans="1:20" s="18" customFormat="1" ht="12" customHeight="1" x14ac:dyDescent="0.2">
      <c r="A291" s="17"/>
      <c r="B291" s="16" t="s">
        <v>164</v>
      </c>
      <c r="C291" s="13">
        <v>2017</v>
      </c>
      <c r="D291" s="13"/>
      <c r="E291" s="13">
        <v>3605</v>
      </c>
      <c r="F291" s="13">
        <v>441</v>
      </c>
      <c r="G291" s="21">
        <v>100400</v>
      </c>
      <c r="H291" s="20"/>
      <c r="I291" s="19">
        <f>IF(2026-I$3&gt;IF($D291="",2026,$D291),IF(I$3=12,0.1*$G291,""),IF(2026-I$4&lt;$C291,"",I$4*$G291))</f>
        <v>10040</v>
      </c>
      <c r="J291" s="19">
        <f>IF(2026-J$3&gt;IF($D291="",2026,$D291),IF(J$3=12,0.1*$G291,""),IF(2026-J$4&lt;$C291,"",J$4*$G291))</f>
        <v>13052</v>
      </c>
      <c r="K291" s="19">
        <f>IF(2026-K$3&gt;IF($D291="",2026,$D291),IF(K$3=12,0.1*$G291,""),IF(2026-K$4&lt;$C291,"",K$4*$G291))</f>
        <v>17068</v>
      </c>
      <c r="L291" s="19">
        <f>IF(2026-L$3&gt;IF($D291="",2026,$D291),IF(L$3=12,0.1*$G291,""),IF(2026-L$4&lt;$C291,"",L$4*$G291))</f>
        <v>19076</v>
      </c>
      <c r="M291" s="19">
        <f>IF(2026-M$3&gt;IF($D291="",2026,$D291),IF(M$3=12,0.1*$G291,""),IF(2026-M$4&lt;$C291,"",M$4*$G291))</f>
        <v>24096</v>
      </c>
      <c r="N291" s="19">
        <f>IF(2026-N$3&gt;IF($D291="",2026,$D291),IF(N$3=12,0.1*$G291,""),IF(2026-N$4&lt;$C291,"",N$4*$G291))</f>
        <v>28112.000000000004</v>
      </c>
      <c r="O291" s="19">
        <f>IF(2026-O$3&gt;IF($D291="",2026,$D291),IF(O$3=12,0.1*$G291,""),IF(2026-O$4&lt;$C291,"",O$4*$G291))</f>
        <v>34136</v>
      </c>
      <c r="P291" s="19">
        <f>IF(2026-P$3&gt;IF($D291="",2026,$D291),IF(P$3=12,0.1*$G291,""),IF(2026-P$4&lt;$C291,"",P$4*$G291))</f>
        <v>39156</v>
      </c>
      <c r="Q291" s="19">
        <f>IF(2026-Q$3&gt;IF($D291="",2026,$D291),IF(Q$3=12,0.1*$G291,""),IF(2026-Q$4&lt;$C291,"",Q$4*$G291))</f>
        <v>47188</v>
      </c>
      <c r="R291" s="19">
        <f>IF(2026-R$3&gt;IF($D291="",2026,$D291),IF(R$3=12,0.1*$G291,""),IF(2026-R$4&lt;$C291,"",R$4*$G291))</f>
        <v>56224.000000000007</v>
      </c>
      <c r="S291" s="19">
        <f>IF(2026-S$3&gt;IF($D291="",2026,$D291),IF(S$3=12,0.1*$G291,""),IF(2026-S$4&lt;$C291,"",S$4*$G291))</f>
        <v>67268</v>
      </c>
      <c r="T291" s="19">
        <f>IF(2026-T$3&gt;IF($D291="",2026,$D291),IF(T$3=12,0.1*$G291,""),IF(2026-T$4&lt;$C291,"",T$4*$G291))</f>
        <v>84336</v>
      </c>
    </row>
    <row r="292" spans="1:20" s="18" customFormat="1" ht="12" customHeight="1" x14ac:dyDescent="0.2">
      <c r="A292" s="17"/>
      <c r="B292" s="16" t="s">
        <v>163</v>
      </c>
      <c r="C292" s="13">
        <v>2017</v>
      </c>
      <c r="D292" s="13"/>
      <c r="E292" s="13">
        <v>4806</v>
      </c>
      <c r="F292" s="13">
        <v>520</v>
      </c>
      <c r="G292" s="21">
        <v>133700</v>
      </c>
      <c r="H292" s="20"/>
      <c r="I292" s="19">
        <f>IF(2026-I$3&gt;IF($D292="",2026,$D292),IF(I$3=12,0.1*$G292,""),IF(2026-I$4&lt;$C292,"",I$4*$G292))</f>
        <v>13370</v>
      </c>
      <c r="J292" s="19">
        <f>IF(2026-J$3&gt;IF($D292="",2026,$D292),IF(J$3=12,0.1*$G292,""),IF(2026-J$4&lt;$C292,"",J$4*$G292))</f>
        <v>17381</v>
      </c>
      <c r="K292" s="19">
        <f>IF(2026-K$3&gt;IF($D292="",2026,$D292),IF(K$3=12,0.1*$G292,""),IF(2026-K$4&lt;$C292,"",K$4*$G292))</f>
        <v>22729</v>
      </c>
      <c r="L292" s="19">
        <f>IF(2026-L$3&gt;IF($D292="",2026,$D292),IF(L$3=12,0.1*$G292,""),IF(2026-L$4&lt;$C292,"",L$4*$G292))</f>
        <v>25403</v>
      </c>
      <c r="M292" s="19">
        <f>IF(2026-M$3&gt;IF($D292="",2026,$D292),IF(M$3=12,0.1*$G292,""),IF(2026-M$4&lt;$C292,"",M$4*$G292))</f>
        <v>32088</v>
      </c>
      <c r="N292" s="19">
        <f>IF(2026-N$3&gt;IF($D292="",2026,$D292),IF(N$3=12,0.1*$G292,""),IF(2026-N$4&lt;$C292,"",N$4*$G292))</f>
        <v>37436</v>
      </c>
      <c r="O292" s="19">
        <f>IF(2026-O$3&gt;IF($D292="",2026,$D292),IF(O$3=12,0.1*$G292,""),IF(2026-O$4&lt;$C292,"",O$4*$G292))</f>
        <v>45458</v>
      </c>
      <c r="P292" s="19">
        <f>IF(2026-P$3&gt;IF($D292="",2026,$D292),IF(P$3=12,0.1*$G292,""),IF(2026-P$4&lt;$C292,"",P$4*$G292))</f>
        <v>52143</v>
      </c>
      <c r="Q292" s="19">
        <f>IF(2026-Q$3&gt;IF($D292="",2026,$D292),IF(Q$3=12,0.1*$G292,""),IF(2026-Q$4&lt;$C292,"",Q$4*$G292))</f>
        <v>62839</v>
      </c>
      <c r="R292" s="19">
        <f>IF(2026-R$3&gt;IF($D292="",2026,$D292),IF(R$3=12,0.1*$G292,""),IF(2026-R$4&lt;$C292,"",R$4*$G292))</f>
        <v>74872</v>
      </c>
      <c r="S292" s="19">
        <f>IF(2026-S$3&gt;IF($D292="",2026,$D292),IF(S$3=12,0.1*$G292,""),IF(2026-S$4&lt;$C292,"",S$4*$G292))</f>
        <v>89579</v>
      </c>
      <c r="T292" s="19">
        <f>IF(2026-T$3&gt;IF($D292="",2026,$D292),IF(T$3=12,0.1*$G292,""),IF(2026-T$4&lt;$C292,"",T$4*$G292))</f>
        <v>112308</v>
      </c>
    </row>
    <row r="293" spans="1:20" s="18" customFormat="1" ht="12" customHeight="1" x14ac:dyDescent="0.2">
      <c r="A293" s="17"/>
      <c r="B293" s="16" t="s">
        <v>162</v>
      </c>
      <c r="C293" s="13">
        <v>2017</v>
      </c>
      <c r="D293" s="13"/>
      <c r="E293" s="13">
        <v>4806</v>
      </c>
      <c r="F293" s="13">
        <v>570</v>
      </c>
      <c r="G293" s="21">
        <v>171100</v>
      </c>
      <c r="H293" s="20"/>
      <c r="I293" s="19">
        <f>IF(2026-I$3&gt;IF($D293="",2026,$D293),IF(I$3=12,0.1*$G293,""),IF(2026-I$4&lt;$C293,"",I$4*$G293))</f>
        <v>17110</v>
      </c>
      <c r="J293" s="19">
        <f>IF(2026-J$3&gt;IF($D293="",2026,$D293),IF(J$3=12,0.1*$G293,""),IF(2026-J$4&lt;$C293,"",J$4*$G293))</f>
        <v>22243</v>
      </c>
      <c r="K293" s="19">
        <f>IF(2026-K$3&gt;IF($D293="",2026,$D293),IF(K$3=12,0.1*$G293,""),IF(2026-K$4&lt;$C293,"",K$4*$G293))</f>
        <v>29087.000000000004</v>
      </c>
      <c r="L293" s="19">
        <f>IF(2026-L$3&gt;IF($D293="",2026,$D293),IF(L$3=12,0.1*$G293,""),IF(2026-L$4&lt;$C293,"",L$4*$G293))</f>
        <v>32509</v>
      </c>
      <c r="M293" s="19">
        <f>IF(2026-M$3&gt;IF($D293="",2026,$D293),IF(M$3=12,0.1*$G293,""),IF(2026-M$4&lt;$C293,"",M$4*$G293))</f>
        <v>41064</v>
      </c>
      <c r="N293" s="19">
        <f>IF(2026-N$3&gt;IF($D293="",2026,$D293),IF(N$3=12,0.1*$G293,""),IF(2026-N$4&lt;$C293,"",N$4*$G293))</f>
        <v>47908.000000000007</v>
      </c>
      <c r="O293" s="19">
        <f>IF(2026-O$3&gt;IF($D293="",2026,$D293),IF(O$3=12,0.1*$G293,""),IF(2026-O$4&lt;$C293,"",O$4*$G293))</f>
        <v>58174.000000000007</v>
      </c>
      <c r="P293" s="19">
        <f>IF(2026-P$3&gt;IF($D293="",2026,$D293),IF(P$3=12,0.1*$G293,""),IF(2026-P$4&lt;$C293,"",P$4*$G293))</f>
        <v>66729</v>
      </c>
      <c r="Q293" s="19">
        <f>IF(2026-Q$3&gt;IF($D293="",2026,$D293),IF(Q$3=12,0.1*$G293,""),IF(2026-Q$4&lt;$C293,"",Q$4*$G293))</f>
        <v>80417</v>
      </c>
      <c r="R293" s="19">
        <f>IF(2026-R$3&gt;IF($D293="",2026,$D293),IF(R$3=12,0.1*$G293,""),IF(2026-R$4&lt;$C293,"",R$4*$G293))</f>
        <v>95816.000000000015</v>
      </c>
      <c r="S293" s="19">
        <f>IF(2026-S$3&gt;IF($D293="",2026,$D293),IF(S$3=12,0.1*$G293,""),IF(2026-S$4&lt;$C293,"",S$4*$G293))</f>
        <v>114637</v>
      </c>
      <c r="T293" s="19">
        <f>IF(2026-T$3&gt;IF($D293="",2026,$D293),IF(T$3=12,0.1*$G293,""),IF(2026-T$4&lt;$C293,"",T$4*$G293))</f>
        <v>143724</v>
      </c>
    </row>
    <row r="294" spans="1:20" s="18" customFormat="1" ht="12" customHeight="1" x14ac:dyDescent="0.2">
      <c r="A294" s="17"/>
      <c r="B294" s="16" t="s">
        <v>161</v>
      </c>
      <c r="C294" s="13">
        <v>2018</v>
      </c>
      <c r="D294" s="13"/>
      <c r="E294" s="13">
        <v>2995</v>
      </c>
      <c r="F294" s="13">
        <v>462</v>
      </c>
      <c r="G294" s="21">
        <v>82000</v>
      </c>
      <c r="H294" s="20"/>
      <c r="I294" s="19">
        <f>IF(2026-I$3&gt;IF($D294="",2026,$D294),IF(I$3=12,0.1*$G294,""),IF(2026-I$4&lt;$C294,"",I$4*$G294))</f>
        <v>8200</v>
      </c>
      <c r="J294" s="19">
        <f>IF(2026-J$3&gt;IF($D294="",2026,$D294),IF(J$3=12,0.1*$G294,""),IF(2026-J$4&lt;$C294,"",J$4*$G294))</f>
        <v>10660</v>
      </c>
      <c r="K294" s="19">
        <f>IF(2026-K$3&gt;IF($D294="",2026,$D294),IF(K$3=12,0.1*$G294,""),IF(2026-K$4&lt;$C294,"",K$4*$G294))</f>
        <v>13940.000000000002</v>
      </c>
      <c r="L294" s="19">
        <f>IF(2026-L$3&gt;IF($D294="",2026,$D294),IF(L$3=12,0.1*$G294,""),IF(2026-L$4&lt;$C294,"",L$4*$G294))</f>
        <v>15580</v>
      </c>
      <c r="M294" s="19">
        <f>IF(2026-M$3&gt;IF($D294="",2026,$D294),IF(M$3=12,0.1*$G294,""),IF(2026-M$4&lt;$C294,"",M$4*$G294))</f>
        <v>19680</v>
      </c>
      <c r="N294" s="19">
        <f>IF(2026-N$3&gt;IF($D294="",2026,$D294),IF(N$3=12,0.1*$G294,""),IF(2026-N$4&lt;$C294,"",N$4*$G294))</f>
        <v>22960.000000000004</v>
      </c>
      <c r="O294" s="19">
        <f>IF(2026-O$3&gt;IF($D294="",2026,$D294),IF(O$3=12,0.1*$G294,""),IF(2026-O$4&lt;$C294,"",O$4*$G294))</f>
        <v>27880.000000000004</v>
      </c>
      <c r="P294" s="19">
        <f>IF(2026-P$3&gt;IF($D294="",2026,$D294),IF(P$3=12,0.1*$G294,""),IF(2026-P$4&lt;$C294,"",P$4*$G294))</f>
        <v>31980</v>
      </c>
      <c r="Q294" s="19">
        <f>IF(2026-Q$3&gt;IF($D294="",2026,$D294),IF(Q$3=12,0.1*$G294,""),IF(2026-Q$4&lt;$C294,"",Q$4*$G294))</f>
        <v>38540</v>
      </c>
      <c r="R294" s="19">
        <f>IF(2026-R$3&gt;IF($D294="",2026,$D294),IF(R$3=12,0.1*$G294,""),IF(2026-R$4&lt;$C294,"",R$4*$G294))</f>
        <v>45920.000000000007</v>
      </c>
      <c r="S294" s="19">
        <f>IF(2026-S$3&gt;IF($D294="",2026,$D294),IF(S$3=12,0.1*$G294,""),IF(2026-S$4&lt;$C294,"",S$4*$G294))</f>
        <v>54940</v>
      </c>
      <c r="T294" s="19">
        <f>IF(2026-T$3&gt;IF($D294="",2026,$D294),IF(T$3=12,0.1*$G294,""),IF(2026-T$4&lt;$C294,"",T$4*$G294))</f>
        <v>68880</v>
      </c>
    </row>
    <row r="295" spans="1:20" s="18" customFormat="1" ht="12" customHeight="1" x14ac:dyDescent="0.2">
      <c r="A295" s="17"/>
      <c r="B295" s="16" t="s">
        <v>160</v>
      </c>
      <c r="C295" s="13">
        <v>2018</v>
      </c>
      <c r="D295" s="13"/>
      <c r="E295" s="13">
        <v>3996</v>
      </c>
      <c r="F295" s="13">
        <v>549</v>
      </c>
      <c r="G295" s="21">
        <v>141000</v>
      </c>
      <c r="H295" s="20"/>
      <c r="I295" s="19">
        <f>IF(2026-I$3&gt;IF($D295="",2026,$D295),IF(I$3=12,0.1*$G295,""),IF(2026-I$4&lt;$C295,"",I$4*$G295))</f>
        <v>14100</v>
      </c>
      <c r="J295" s="19">
        <f>IF(2026-J$3&gt;IF($D295="",2026,$D295),IF(J$3=12,0.1*$G295,""),IF(2026-J$4&lt;$C295,"",J$4*$G295))</f>
        <v>18330</v>
      </c>
      <c r="K295" s="19">
        <f>IF(2026-K$3&gt;IF($D295="",2026,$D295),IF(K$3=12,0.1*$G295,""),IF(2026-K$4&lt;$C295,"",K$4*$G295))</f>
        <v>23970</v>
      </c>
      <c r="L295" s="19">
        <f>IF(2026-L$3&gt;IF($D295="",2026,$D295),IF(L$3=12,0.1*$G295,""),IF(2026-L$4&lt;$C295,"",L$4*$G295))</f>
        <v>26790</v>
      </c>
      <c r="M295" s="19">
        <f>IF(2026-M$3&gt;IF($D295="",2026,$D295),IF(M$3=12,0.1*$G295,""),IF(2026-M$4&lt;$C295,"",M$4*$G295))</f>
        <v>33840</v>
      </c>
      <c r="N295" s="19">
        <f>IF(2026-N$3&gt;IF($D295="",2026,$D295),IF(N$3=12,0.1*$G295,""),IF(2026-N$4&lt;$C295,"",N$4*$G295))</f>
        <v>39480.000000000007</v>
      </c>
      <c r="O295" s="19">
        <f>IF(2026-O$3&gt;IF($D295="",2026,$D295),IF(O$3=12,0.1*$G295,""),IF(2026-O$4&lt;$C295,"",O$4*$G295))</f>
        <v>47940</v>
      </c>
      <c r="P295" s="19">
        <f>IF(2026-P$3&gt;IF($D295="",2026,$D295),IF(P$3=12,0.1*$G295,""),IF(2026-P$4&lt;$C295,"",P$4*$G295))</f>
        <v>54990</v>
      </c>
      <c r="Q295" s="19">
        <f>IF(2026-Q$3&gt;IF($D295="",2026,$D295),IF(Q$3=12,0.1*$G295,""),IF(2026-Q$4&lt;$C295,"",Q$4*$G295))</f>
        <v>66270</v>
      </c>
      <c r="R295" s="19">
        <f>IF(2026-R$3&gt;IF($D295="",2026,$D295),IF(R$3=12,0.1*$G295,""),IF(2026-R$4&lt;$C295,"",R$4*$G295))</f>
        <v>78960.000000000015</v>
      </c>
      <c r="S295" s="19">
        <f>IF(2026-S$3&gt;IF($D295="",2026,$D295),IF(S$3=12,0.1*$G295,""),IF(2026-S$4&lt;$C295,"",S$4*$G295))</f>
        <v>94470</v>
      </c>
      <c r="T295" s="19">
        <f>IF(2026-T$3&gt;IF($D295="",2026,$D295),IF(T$3=12,0.1*$G295,""),IF(2026-T$4&lt;$C295,"",T$4*$G295))</f>
        <v>118440</v>
      </c>
    </row>
    <row r="296" spans="1:20" s="18" customFormat="1" ht="12" customHeight="1" x14ac:dyDescent="0.2">
      <c r="A296" s="17"/>
      <c r="B296" s="16" t="s">
        <v>159</v>
      </c>
      <c r="C296" s="13">
        <v>2019</v>
      </c>
      <c r="D296" s="13"/>
      <c r="E296" s="13">
        <v>3996</v>
      </c>
      <c r="F296" s="13">
        <v>549</v>
      </c>
      <c r="G296" s="21">
        <v>156600</v>
      </c>
      <c r="H296" s="20"/>
      <c r="I296" s="19">
        <f>IF(2026-I$3&gt;IF($D296="",2026,$D296),IF(I$3=12,0.1*$G296,""),IF(2026-I$4&lt;$C296,"",I$4*$G296))</f>
        <v>15660</v>
      </c>
      <c r="J296" s="19">
        <f>IF(2026-J$3&gt;IF($D296="",2026,$D296),IF(J$3=12,0.1*$G296,""),IF(2026-J$4&lt;$C296,"",J$4*$G296))</f>
        <v>20358</v>
      </c>
      <c r="K296" s="19">
        <f>IF(2026-K$3&gt;IF($D296="",2026,$D296),IF(K$3=12,0.1*$G296,""),IF(2026-K$4&lt;$C296,"",K$4*$G296))</f>
        <v>26622.000000000004</v>
      </c>
      <c r="L296" s="19">
        <f>IF(2026-L$3&gt;IF($D296="",2026,$D296),IF(L$3=12,0.1*$G296,""),IF(2026-L$4&lt;$C296,"",L$4*$G296))</f>
        <v>29754</v>
      </c>
      <c r="M296" s="19">
        <f>IF(2026-M$3&gt;IF($D296="",2026,$D296),IF(M$3=12,0.1*$G296,""),IF(2026-M$4&lt;$C296,"",M$4*$G296))</f>
        <v>37584</v>
      </c>
      <c r="N296" s="19">
        <f>IF(2026-N$3&gt;IF($D296="",2026,$D296),IF(N$3=12,0.1*$G296,""),IF(2026-N$4&lt;$C296,"",N$4*$G296))</f>
        <v>43848.000000000007</v>
      </c>
      <c r="O296" s="19">
        <f>IF(2026-O$3&gt;IF($D296="",2026,$D296),IF(O$3=12,0.1*$G296,""),IF(2026-O$4&lt;$C296,"",O$4*$G296))</f>
        <v>53244.000000000007</v>
      </c>
      <c r="P296" s="19">
        <f>IF(2026-P$3&gt;IF($D296="",2026,$D296),IF(P$3=12,0.1*$G296,""),IF(2026-P$4&lt;$C296,"",P$4*$G296))</f>
        <v>61074</v>
      </c>
      <c r="Q296" s="19">
        <f>IF(2026-Q$3&gt;IF($D296="",2026,$D296),IF(Q$3=12,0.1*$G296,""),IF(2026-Q$4&lt;$C296,"",Q$4*$G296))</f>
        <v>73602</v>
      </c>
      <c r="R296" s="19">
        <f>IF(2026-R$3&gt;IF($D296="",2026,$D296),IF(R$3=12,0.1*$G296,""),IF(2026-R$4&lt;$C296,"",R$4*$G296))</f>
        <v>87696.000000000015</v>
      </c>
      <c r="S296" s="19">
        <f>IF(2026-S$3&gt;IF($D296="",2026,$D296),IF(S$3=12,0.1*$G296,""),IF(2026-S$4&lt;$C296,"",S$4*$G296))</f>
        <v>104922</v>
      </c>
      <c r="T296" s="19">
        <f>IF(2026-T$3&gt;IF($D296="",2026,$D296),IF(T$3=12,0.1*$G296,""),IF(2026-T$4&lt;$C296,"",T$4*$G296))</f>
        <v>131544</v>
      </c>
    </row>
    <row r="297" spans="1:20" s="18" customFormat="1" ht="12" customHeight="1" x14ac:dyDescent="0.2">
      <c r="A297" s="17"/>
      <c r="B297" s="16" t="s">
        <v>158</v>
      </c>
      <c r="C297" s="13">
        <v>2019</v>
      </c>
      <c r="D297" s="13"/>
      <c r="E297" s="13">
        <v>3996</v>
      </c>
      <c r="F297" s="13">
        <v>549</v>
      </c>
      <c r="G297" s="21">
        <v>159900</v>
      </c>
      <c r="H297" s="20"/>
      <c r="I297" s="19">
        <f>IF(2026-I$3&gt;IF($D297="",2026,$D297),IF(I$3=12,0.1*$G297,""),IF(2026-I$4&lt;$C297,"",I$4*$G297))</f>
        <v>15990</v>
      </c>
      <c r="J297" s="19">
        <f>IF(2026-J$3&gt;IF($D297="",2026,$D297),IF(J$3=12,0.1*$G297,""),IF(2026-J$4&lt;$C297,"",J$4*$G297))</f>
        <v>20787</v>
      </c>
      <c r="K297" s="19">
        <f>IF(2026-K$3&gt;IF($D297="",2026,$D297),IF(K$3=12,0.1*$G297,""),IF(2026-K$4&lt;$C297,"",K$4*$G297))</f>
        <v>27183.000000000004</v>
      </c>
      <c r="L297" s="19">
        <f>IF(2026-L$3&gt;IF($D297="",2026,$D297),IF(L$3=12,0.1*$G297,""),IF(2026-L$4&lt;$C297,"",L$4*$G297))</f>
        <v>30381</v>
      </c>
      <c r="M297" s="19">
        <f>IF(2026-M$3&gt;IF($D297="",2026,$D297),IF(M$3=12,0.1*$G297,""),IF(2026-M$4&lt;$C297,"",M$4*$G297))</f>
        <v>38376</v>
      </c>
      <c r="N297" s="19">
        <f>IF(2026-N$3&gt;IF($D297="",2026,$D297),IF(N$3=12,0.1*$G297,""),IF(2026-N$4&lt;$C297,"",N$4*$G297))</f>
        <v>44772.000000000007</v>
      </c>
      <c r="O297" s="19">
        <f>IF(2026-O$3&gt;IF($D297="",2026,$D297),IF(O$3=12,0.1*$G297,""),IF(2026-O$4&lt;$C297,"",O$4*$G297))</f>
        <v>54366.000000000007</v>
      </c>
      <c r="P297" s="19">
        <f>IF(2026-P$3&gt;IF($D297="",2026,$D297),IF(P$3=12,0.1*$G297,""),IF(2026-P$4&lt;$C297,"",P$4*$G297))</f>
        <v>62361</v>
      </c>
      <c r="Q297" s="19">
        <f>IF(2026-Q$3&gt;IF($D297="",2026,$D297),IF(Q$3=12,0.1*$G297,""),IF(2026-Q$4&lt;$C297,"",Q$4*$G297))</f>
        <v>75153</v>
      </c>
      <c r="R297" s="19">
        <f>IF(2026-R$3&gt;IF($D297="",2026,$D297),IF(R$3=12,0.1*$G297,""),IF(2026-R$4&lt;$C297,"",R$4*$G297))</f>
        <v>89544.000000000015</v>
      </c>
      <c r="S297" s="19">
        <f>IF(2026-S$3&gt;IF($D297="",2026,$D297),IF(S$3=12,0.1*$G297,""),IF(2026-S$4&lt;$C297,"",S$4*$G297))</f>
        <v>107133</v>
      </c>
      <c r="T297" s="19">
        <f>IF(2026-T$3&gt;IF($D297="",2026,$D297),IF(T$3=12,0.1*$G297,""),IF(2026-T$4&lt;$C297,"",T$4*$G297))</f>
        <v>134316</v>
      </c>
    </row>
    <row r="298" spans="1:20" s="18" customFormat="1" ht="12" customHeight="1" x14ac:dyDescent="0.2">
      <c r="A298" s="17"/>
      <c r="B298" s="16" t="s">
        <v>157</v>
      </c>
      <c r="C298" s="13">
        <v>2020</v>
      </c>
      <c r="D298" s="13"/>
      <c r="E298" s="13">
        <v>2995</v>
      </c>
      <c r="F298" s="13">
        <v>340</v>
      </c>
      <c r="G298" s="21">
        <v>86700</v>
      </c>
      <c r="H298" s="20"/>
      <c r="I298" s="19">
        <f>IF(2026-I$3&gt;IF($D298="",2026,$D298),IF(I$3=12,0.1*$G298,""),IF(2026-I$4&lt;$C298,"",I$4*$G298))</f>
        <v>8670</v>
      </c>
      <c r="J298" s="19">
        <f>IF(2026-J$3&gt;IF($D298="",2026,$D298),IF(J$3=12,0.1*$G298,""),IF(2026-J$4&lt;$C298,"",J$4*$G298))</f>
        <v>11271</v>
      </c>
      <c r="K298" s="19">
        <f>IF(2026-K$3&gt;IF($D298="",2026,$D298),IF(K$3=12,0.1*$G298,""),IF(2026-K$4&lt;$C298,"",K$4*$G298))</f>
        <v>14739.000000000002</v>
      </c>
      <c r="L298" s="19">
        <f>IF(2026-L$3&gt;IF($D298="",2026,$D298),IF(L$3=12,0.1*$G298,""),IF(2026-L$4&lt;$C298,"",L$4*$G298))</f>
        <v>16473</v>
      </c>
      <c r="M298" s="19">
        <f>IF(2026-M$3&gt;IF($D298="",2026,$D298),IF(M$3=12,0.1*$G298,""),IF(2026-M$4&lt;$C298,"",M$4*$G298))</f>
        <v>20808</v>
      </c>
      <c r="N298" s="19">
        <f>IF(2026-N$3&gt;IF($D298="",2026,$D298),IF(N$3=12,0.1*$G298,""),IF(2026-N$4&lt;$C298,"",N$4*$G298))</f>
        <v>24276.000000000004</v>
      </c>
      <c r="O298" s="19">
        <f>IF(2026-O$3&gt;IF($D298="",2026,$D298),IF(O$3=12,0.1*$G298,""),IF(2026-O$4&lt;$C298,"",O$4*$G298))</f>
        <v>29478.000000000004</v>
      </c>
      <c r="P298" s="19">
        <f>IF(2026-P$3&gt;IF($D298="",2026,$D298),IF(P$3=12,0.1*$G298,""),IF(2026-P$4&lt;$C298,"",P$4*$G298))</f>
        <v>33813</v>
      </c>
      <c r="Q298" s="19">
        <f>IF(2026-Q$3&gt;IF($D298="",2026,$D298),IF(Q$3=12,0.1*$G298,""),IF(2026-Q$4&lt;$C298,"",Q$4*$G298))</f>
        <v>40749</v>
      </c>
      <c r="R298" s="19">
        <f>IF(2026-R$3&gt;IF($D298="",2026,$D298),IF(R$3=12,0.1*$G298,""),IF(2026-R$4&lt;$C298,"",R$4*$G298))</f>
        <v>48552.000000000007</v>
      </c>
      <c r="S298" s="19">
        <f>IF(2026-S$3&gt;IF($D298="",2026,$D298),IF(S$3=12,0.1*$G298,""),IF(2026-S$4&lt;$C298,"",S$4*$G298))</f>
        <v>58089</v>
      </c>
      <c r="T298" s="19">
        <f>IF(2026-T$3&gt;IF($D298="",2026,$D298),IF(T$3=12,0.1*$G298,""),IF(2026-T$4&lt;$C298,"",T$4*$G298))</f>
        <v>72828</v>
      </c>
    </row>
    <row r="299" spans="1:20" s="18" customFormat="1" ht="12" customHeight="1" x14ac:dyDescent="0.2">
      <c r="A299" s="17"/>
      <c r="B299" s="16" t="s">
        <v>156</v>
      </c>
      <c r="C299" s="13">
        <v>2020</v>
      </c>
      <c r="D299" s="13"/>
      <c r="E299" s="13">
        <v>2894</v>
      </c>
      <c r="F299" s="13">
        <v>440</v>
      </c>
      <c r="G299" s="21">
        <v>102800</v>
      </c>
      <c r="H299" s="20"/>
      <c r="I299" s="19">
        <f>IF(2026-I$3&gt;IF($D299="",2026,$D299),IF(I$3=12,0.1*$G299,""),IF(2026-I$4&lt;$C299,"",I$4*$G299))</f>
        <v>10280</v>
      </c>
      <c r="J299" s="19">
        <f>IF(2026-J$3&gt;IF($D299="",2026,$D299),IF(J$3=12,0.1*$G299,""),IF(2026-J$4&lt;$C299,"",J$4*$G299))</f>
        <v>13364</v>
      </c>
      <c r="K299" s="19">
        <f>IF(2026-K$3&gt;IF($D299="",2026,$D299),IF(K$3=12,0.1*$G299,""),IF(2026-K$4&lt;$C299,"",K$4*$G299))</f>
        <v>17476</v>
      </c>
      <c r="L299" s="19">
        <f>IF(2026-L$3&gt;IF($D299="",2026,$D299),IF(L$3=12,0.1*$G299,""),IF(2026-L$4&lt;$C299,"",L$4*$G299))</f>
        <v>19532</v>
      </c>
      <c r="M299" s="19">
        <f>IF(2026-M$3&gt;IF($D299="",2026,$D299),IF(M$3=12,0.1*$G299,""),IF(2026-M$4&lt;$C299,"",M$4*$G299))</f>
        <v>24672</v>
      </c>
      <c r="N299" s="19">
        <f>IF(2026-N$3&gt;IF($D299="",2026,$D299),IF(N$3=12,0.1*$G299,""),IF(2026-N$4&lt;$C299,"",N$4*$G299))</f>
        <v>28784.000000000004</v>
      </c>
      <c r="O299" s="19">
        <f>IF(2026-O$3&gt;IF($D299="",2026,$D299),IF(O$3=12,0.1*$G299,""),IF(2026-O$4&lt;$C299,"",O$4*$G299))</f>
        <v>34952</v>
      </c>
      <c r="P299" s="19">
        <f>IF(2026-P$3&gt;IF($D299="",2026,$D299),IF(P$3=12,0.1*$G299,""),IF(2026-P$4&lt;$C299,"",P$4*$G299))</f>
        <v>40092</v>
      </c>
      <c r="Q299" s="19">
        <f>IF(2026-Q$3&gt;IF($D299="",2026,$D299),IF(Q$3=12,0.1*$G299,""),IF(2026-Q$4&lt;$C299,"",Q$4*$G299))</f>
        <v>48316</v>
      </c>
      <c r="R299" s="19">
        <f>IF(2026-R$3&gt;IF($D299="",2026,$D299),IF(R$3=12,0.1*$G299,""),IF(2026-R$4&lt;$C299,"",R$4*$G299))</f>
        <v>57568.000000000007</v>
      </c>
      <c r="S299" s="19">
        <f>IF(2026-S$3&gt;IF($D299="",2026,$D299),IF(S$3=12,0.1*$G299,""),IF(2026-S$4&lt;$C299,"",S$4*$G299))</f>
        <v>68876</v>
      </c>
      <c r="T299" s="19">
        <f>IF(2026-T$3&gt;IF($D299="",2026,$D299),IF(T$3=12,0.1*$G299,""),IF(2026-T$4&lt;$C299,"",T$4*$G299))</f>
        <v>86352</v>
      </c>
    </row>
    <row r="300" spans="1:20" s="18" customFormat="1" ht="12" customHeight="1" x14ac:dyDescent="0.2">
      <c r="A300" s="17"/>
      <c r="B300" s="16" t="s">
        <v>155</v>
      </c>
      <c r="C300" s="13">
        <v>2020</v>
      </c>
      <c r="D300" s="13"/>
      <c r="E300" s="13">
        <v>3996</v>
      </c>
      <c r="F300" s="13">
        <v>460</v>
      </c>
      <c r="G300" s="21">
        <v>121900</v>
      </c>
      <c r="H300" s="20"/>
      <c r="I300" s="19">
        <f>IF(2026-I$3&gt;IF($D300="",2026,$D300),IF(I$3=12,0.1*$G300,""),IF(2026-I$4&lt;$C300,"",I$4*$G300))</f>
        <v>12190</v>
      </c>
      <c r="J300" s="19">
        <f>IF(2026-J$3&gt;IF($D300="",2026,$D300),IF(J$3=12,0.1*$G300,""),IF(2026-J$4&lt;$C300,"",J$4*$G300))</f>
        <v>15847</v>
      </c>
      <c r="K300" s="19">
        <f>IF(2026-K$3&gt;IF($D300="",2026,$D300),IF(K$3=12,0.1*$G300,""),IF(2026-K$4&lt;$C300,"",K$4*$G300))</f>
        <v>20723</v>
      </c>
      <c r="L300" s="19">
        <f>IF(2026-L$3&gt;IF($D300="",2026,$D300),IF(L$3=12,0.1*$G300,""),IF(2026-L$4&lt;$C300,"",L$4*$G300))</f>
        <v>23161</v>
      </c>
      <c r="M300" s="19">
        <f>IF(2026-M$3&gt;IF($D300="",2026,$D300),IF(M$3=12,0.1*$G300,""),IF(2026-M$4&lt;$C300,"",M$4*$G300))</f>
        <v>29256</v>
      </c>
      <c r="N300" s="19">
        <f>IF(2026-N$3&gt;IF($D300="",2026,$D300),IF(N$3=12,0.1*$G300,""),IF(2026-N$4&lt;$C300,"",N$4*$G300))</f>
        <v>34132</v>
      </c>
      <c r="O300" s="19">
        <f>IF(2026-O$3&gt;IF($D300="",2026,$D300),IF(O$3=12,0.1*$G300,""),IF(2026-O$4&lt;$C300,"",O$4*$G300))</f>
        <v>41446</v>
      </c>
      <c r="P300" s="19">
        <f>IF(2026-P$3&gt;IF($D300="",2026,$D300),IF(P$3=12,0.1*$G300,""),IF(2026-P$4&lt;$C300,"",P$4*$G300))</f>
        <v>47541</v>
      </c>
      <c r="Q300" s="19">
        <f>IF(2026-Q$3&gt;IF($D300="",2026,$D300),IF(Q$3=12,0.1*$G300,""),IF(2026-Q$4&lt;$C300,"",Q$4*$G300))</f>
        <v>57293</v>
      </c>
      <c r="R300" s="19">
        <f>IF(2026-R$3&gt;IF($D300="",2026,$D300),IF(R$3=12,0.1*$G300,""),IF(2026-R$4&lt;$C300,"",R$4*$G300))</f>
        <v>68264</v>
      </c>
      <c r="S300" s="19">
        <f>IF(2026-S$3&gt;IF($D300="",2026,$D300),IF(S$3=12,0.1*$G300,""),IF(2026-S$4&lt;$C300,"",S$4*$G300))</f>
        <v>81673</v>
      </c>
      <c r="T300" s="19">
        <f>IF(2026-T$3&gt;IF($D300="",2026,$D300),IF(T$3=12,0.1*$G300,""),IF(2026-T$4&lt;$C300,"",T$4*$G300))</f>
        <v>102396</v>
      </c>
    </row>
    <row r="301" spans="1:20" s="18" customFormat="1" ht="12" customHeight="1" x14ac:dyDescent="0.2">
      <c r="A301" s="17"/>
      <c r="B301" s="16" t="s">
        <v>154</v>
      </c>
      <c r="C301" s="13">
        <v>2020</v>
      </c>
      <c r="D301" s="13"/>
      <c r="E301" s="13">
        <v>2995</v>
      </c>
      <c r="F301" s="13">
        <v>462</v>
      </c>
      <c r="G301" s="21">
        <v>89800</v>
      </c>
      <c r="H301" s="20"/>
      <c r="I301" s="19">
        <f>IF(2026-I$3&gt;IF($D301="",2026,$D301),IF(I$3=12,0.1*$G301,""),IF(2026-I$4&lt;$C301,"",I$4*$G301))</f>
        <v>8980</v>
      </c>
      <c r="J301" s="19">
        <f>IF(2026-J$3&gt;IF($D301="",2026,$D301),IF(J$3=12,0.1*$G301,""),IF(2026-J$4&lt;$C301,"",J$4*$G301))</f>
        <v>11674</v>
      </c>
      <c r="K301" s="19">
        <f>IF(2026-K$3&gt;IF($D301="",2026,$D301),IF(K$3=12,0.1*$G301,""),IF(2026-K$4&lt;$C301,"",K$4*$G301))</f>
        <v>15266.000000000002</v>
      </c>
      <c r="L301" s="19">
        <f>IF(2026-L$3&gt;IF($D301="",2026,$D301),IF(L$3=12,0.1*$G301,""),IF(2026-L$4&lt;$C301,"",L$4*$G301))</f>
        <v>17062</v>
      </c>
      <c r="M301" s="19">
        <f>IF(2026-M$3&gt;IF($D301="",2026,$D301),IF(M$3=12,0.1*$G301,""),IF(2026-M$4&lt;$C301,"",M$4*$G301))</f>
        <v>21552</v>
      </c>
      <c r="N301" s="19">
        <f>IF(2026-N$3&gt;IF($D301="",2026,$D301),IF(N$3=12,0.1*$G301,""),IF(2026-N$4&lt;$C301,"",N$4*$G301))</f>
        <v>25144.000000000004</v>
      </c>
      <c r="O301" s="19">
        <f>IF(2026-O$3&gt;IF($D301="",2026,$D301),IF(O$3=12,0.1*$G301,""),IF(2026-O$4&lt;$C301,"",O$4*$G301))</f>
        <v>30532.000000000004</v>
      </c>
      <c r="P301" s="19">
        <f>IF(2026-P$3&gt;IF($D301="",2026,$D301),IF(P$3=12,0.1*$G301,""),IF(2026-P$4&lt;$C301,"",P$4*$G301))</f>
        <v>35022</v>
      </c>
      <c r="Q301" s="19">
        <f>IF(2026-Q$3&gt;IF($D301="",2026,$D301),IF(Q$3=12,0.1*$G301,""),IF(2026-Q$4&lt;$C301,"",Q$4*$G301))</f>
        <v>42206</v>
      </c>
      <c r="R301" s="19">
        <f>IF(2026-R$3&gt;IF($D301="",2026,$D301),IF(R$3=12,0.1*$G301,""),IF(2026-R$4&lt;$C301,"",R$4*$G301))</f>
        <v>50288.000000000007</v>
      </c>
      <c r="S301" s="19">
        <f>IF(2026-S$3&gt;IF($D301="",2026,$D301),IF(S$3=12,0.1*$G301,""),IF(2026-S$4&lt;$C301,"",S$4*$G301))</f>
        <v>60166</v>
      </c>
      <c r="T301" s="19">
        <f>IF(2026-T$3&gt;IF($D301="",2026,$D301),IF(T$3=12,0.1*$G301,""),IF(2026-T$4&lt;$C301,"",T$4*$G301))</f>
        <v>75432</v>
      </c>
    </row>
    <row r="302" spans="1:20" s="18" customFormat="1" ht="12" customHeight="1" x14ac:dyDescent="0.2">
      <c r="A302" s="17"/>
      <c r="B302" s="16" t="s">
        <v>153</v>
      </c>
      <c r="C302" s="13">
        <v>2020</v>
      </c>
      <c r="D302" s="13"/>
      <c r="E302" s="13">
        <v>3996</v>
      </c>
      <c r="F302" s="13">
        <v>550</v>
      </c>
      <c r="G302" s="21">
        <v>63800</v>
      </c>
      <c r="H302" s="20"/>
      <c r="I302" s="19">
        <f>IF(2026-I$3&gt;IF($D302="",2026,$D302),IF(I$3=12,0.1*$G302,""),IF(2026-I$4&lt;$C302,"",I$4*$G302))</f>
        <v>6380</v>
      </c>
      <c r="J302" s="19">
        <f>IF(2026-J$3&gt;IF($D302="",2026,$D302),IF(J$3=12,0.1*$G302,""),IF(2026-J$4&lt;$C302,"",J$4*$G302))</f>
        <v>8294</v>
      </c>
      <c r="K302" s="19">
        <f>IF(2026-K$3&gt;IF($D302="",2026,$D302),IF(K$3=12,0.1*$G302,""),IF(2026-K$4&lt;$C302,"",K$4*$G302))</f>
        <v>10846</v>
      </c>
      <c r="L302" s="19">
        <f>IF(2026-L$3&gt;IF($D302="",2026,$D302),IF(L$3=12,0.1*$G302,""),IF(2026-L$4&lt;$C302,"",L$4*$G302))</f>
        <v>12122</v>
      </c>
      <c r="M302" s="19">
        <f>IF(2026-M$3&gt;IF($D302="",2026,$D302),IF(M$3=12,0.1*$G302,""),IF(2026-M$4&lt;$C302,"",M$4*$G302))</f>
        <v>15312</v>
      </c>
      <c r="N302" s="19">
        <f>IF(2026-N$3&gt;IF($D302="",2026,$D302),IF(N$3=12,0.1*$G302,""),IF(2026-N$4&lt;$C302,"",N$4*$G302))</f>
        <v>17864</v>
      </c>
      <c r="O302" s="19">
        <f>IF(2026-O$3&gt;IF($D302="",2026,$D302),IF(O$3=12,0.1*$G302,""),IF(2026-O$4&lt;$C302,"",O$4*$G302))</f>
        <v>21692</v>
      </c>
      <c r="P302" s="19">
        <f>IF(2026-P$3&gt;IF($D302="",2026,$D302),IF(P$3=12,0.1*$G302,""),IF(2026-P$4&lt;$C302,"",P$4*$G302))</f>
        <v>24882</v>
      </c>
      <c r="Q302" s="19">
        <f>IF(2026-Q$3&gt;IF($D302="",2026,$D302),IF(Q$3=12,0.1*$G302,""),IF(2026-Q$4&lt;$C302,"",Q$4*$G302))</f>
        <v>29986</v>
      </c>
      <c r="R302" s="19">
        <f>IF(2026-R$3&gt;IF($D302="",2026,$D302),IF(R$3=12,0.1*$G302,""),IF(2026-R$4&lt;$C302,"",R$4*$G302))</f>
        <v>35728</v>
      </c>
      <c r="S302" s="19">
        <f>IF(2026-S$3&gt;IF($D302="",2026,$D302),IF(S$3=12,0.1*$G302,""),IF(2026-S$4&lt;$C302,"",S$4*$G302))</f>
        <v>42746</v>
      </c>
      <c r="T302" s="19">
        <f>IF(2026-T$3&gt;IF($D302="",2026,$D302),IF(T$3=12,0.1*$G302,""),IF(2026-T$4&lt;$C302,"",T$4*$G302))</f>
        <v>53592</v>
      </c>
    </row>
    <row r="303" spans="1:20" s="18" customFormat="1" ht="12" customHeight="1" x14ac:dyDescent="0.2">
      <c r="A303" s="17"/>
      <c r="B303" s="16" t="s">
        <v>152</v>
      </c>
      <c r="C303" s="13">
        <v>2020</v>
      </c>
      <c r="D303" s="13"/>
      <c r="E303" s="13">
        <v>3996</v>
      </c>
      <c r="F303" s="13">
        <v>680</v>
      </c>
      <c r="G303" s="21">
        <v>161200</v>
      </c>
      <c r="H303" s="20"/>
      <c r="I303" s="19">
        <f>IF(2026-I$3&gt;IF($D303="",2026,$D303),IF(I$3=12,0.1*$G303,""),IF(2026-I$4&lt;$C303,"",I$4*$G303))</f>
        <v>16120</v>
      </c>
      <c r="J303" s="19">
        <f>IF(2026-J$3&gt;IF($D303="",2026,$D303),IF(J$3=12,0.1*$G303,""),IF(2026-J$4&lt;$C303,"",J$4*$G303))</f>
        <v>20956</v>
      </c>
      <c r="K303" s="19">
        <f>IF(2026-K$3&gt;IF($D303="",2026,$D303),IF(K$3=12,0.1*$G303,""),IF(2026-K$4&lt;$C303,"",K$4*$G303))</f>
        <v>27404.000000000004</v>
      </c>
      <c r="L303" s="19">
        <f>IF(2026-L$3&gt;IF($D303="",2026,$D303),IF(L$3=12,0.1*$G303,""),IF(2026-L$4&lt;$C303,"",L$4*$G303))</f>
        <v>30628</v>
      </c>
      <c r="M303" s="19">
        <f>IF(2026-M$3&gt;IF($D303="",2026,$D303),IF(M$3=12,0.1*$G303,""),IF(2026-M$4&lt;$C303,"",M$4*$G303))</f>
        <v>38688</v>
      </c>
      <c r="N303" s="19">
        <f>IF(2026-N$3&gt;IF($D303="",2026,$D303),IF(N$3=12,0.1*$G303,""),IF(2026-N$4&lt;$C303,"",N$4*$G303))</f>
        <v>45136.000000000007</v>
      </c>
      <c r="O303" s="19">
        <f>IF(2026-O$3&gt;IF($D303="",2026,$D303),IF(O$3=12,0.1*$G303,""),IF(2026-O$4&lt;$C303,"",O$4*$G303))</f>
        <v>54808.000000000007</v>
      </c>
      <c r="P303" s="19">
        <f>IF(2026-P$3&gt;IF($D303="",2026,$D303),IF(P$3=12,0.1*$G303,""),IF(2026-P$4&lt;$C303,"",P$4*$G303))</f>
        <v>62868</v>
      </c>
      <c r="Q303" s="19">
        <f>IF(2026-Q$3&gt;IF($D303="",2026,$D303),IF(Q$3=12,0.1*$G303,""),IF(2026-Q$4&lt;$C303,"",Q$4*$G303))</f>
        <v>75764</v>
      </c>
      <c r="R303" s="19">
        <f>IF(2026-R$3&gt;IF($D303="",2026,$D303),IF(R$3=12,0.1*$G303,""),IF(2026-R$4&lt;$C303,"",R$4*$G303))</f>
        <v>90272.000000000015</v>
      </c>
      <c r="S303" s="19">
        <f>IF(2026-S$3&gt;IF($D303="",2026,$D303),IF(S$3=12,0.1*$G303,""),IF(2026-S$4&lt;$C303,"",S$4*$G303))</f>
        <v>108004</v>
      </c>
      <c r="T303" s="19">
        <f>IF(2026-T$3&gt;IF($D303="",2026,$D303),IF(T$3=12,0.1*$G303,""),IF(2026-T$4&lt;$C303,"",T$4*$G303))</f>
        <v>135408</v>
      </c>
    </row>
    <row r="304" spans="1:20" s="18" customFormat="1" ht="12" customHeight="1" x14ac:dyDescent="0.2">
      <c r="A304" s="17"/>
      <c r="B304" s="16" t="s">
        <v>151</v>
      </c>
      <c r="C304" s="13">
        <v>2021</v>
      </c>
      <c r="D304" s="13"/>
      <c r="E304" s="13">
        <v>2995</v>
      </c>
      <c r="F304" s="13">
        <v>340</v>
      </c>
      <c r="G304" s="21">
        <v>83200</v>
      </c>
      <c r="H304" s="20"/>
      <c r="I304" s="19">
        <f>IF(2026-I$3&gt;IF($D304="",2026,$D304),IF(I$3=12,0.1*$G304,""),IF(2026-I$4&lt;$C304,"",I$4*$G304))</f>
        <v>8320</v>
      </c>
      <c r="J304" s="19">
        <f>IF(2026-J$3&gt;IF($D304="",2026,$D304),IF(J$3=12,0.1*$G304,""),IF(2026-J$4&lt;$C304,"",J$4*$G304))</f>
        <v>10816</v>
      </c>
      <c r="K304" s="19">
        <f>IF(2026-K$3&gt;IF($D304="",2026,$D304),IF(K$3=12,0.1*$G304,""),IF(2026-K$4&lt;$C304,"",K$4*$G304))</f>
        <v>14144.000000000002</v>
      </c>
      <c r="L304" s="19">
        <f>IF(2026-L$3&gt;IF($D304="",2026,$D304),IF(L$3=12,0.1*$G304,""),IF(2026-L$4&lt;$C304,"",L$4*$G304))</f>
        <v>15808</v>
      </c>
      <c r="M304" s="19">
        <f>IF(2026-M$3&gt;IF($D304="",2026,$D304),IF(M$3=12,0.1*$G304,""),IF(2026-M$4&lt;$C304,"",M$4*$G304))</f>
        <v>19968</v>
      </c>
      <c r="N304" s="19">
        <f>IF(2026-N$3&gt;IF($D304="",2026,$D304),IF(N$3=12,0.1*$G304,""),IF(2026-N$4&lt;$C304,"",N$4*$G304))</f>
        <v>23296.000000000004</v>
      </c>
      <c r="O304" s="19">
        <f>IF(2026-O$3&gt;IF($D304="",2026,$D304),IF(O$3=12,0.1*$G304,""),IF(2026-O$4&lt;$C304,"",O$4*$G304))</f>
        <v>28288.000000000004</v>
      </c>
      <c r="P304" s="19">
        <f>IF(2026-P$3&gt;IF($D304="",2026,$D304),IF(P$3=12,0.1*$G304,""),IF(2026-P$4&lt;$C304,"",P$4*$G304))</f>
        <v>32448</v>
      </c>
      <c r="Q304" s="19">
        <f>IF(2026-Q$3&gt;IF($D304="",2026,$D304),IF(Q$3=12,0.1*$G304,""),IF(2026-Q$4&lt;$C304,"",Q$4*$G304))</f>
        <v>39104</v>
      </c>
      <c r="R304" s="19">
        <f>IF(2026-R$3&gt;IF($D304="",2026,$D304),IF(R$3=12,0.1*$G304,""),IF(2026-R$4&lt;$C304,"",R$4*$G304))</f>
        <v>46592.000000000007</v>
      </c>
      <c r="S304" s="19">
        <f>IF(2026-S$3&gt;IF($D304="",2026,$D304),IF(S$3=12,0.1*$G304,""),IF(2026-S$4&lt;$C304,"",S$4*$G304))</f>
        <v>55744</v>
      </c>
      <c r="T304" s="19">
        <f>IF(2026-T$3&gt;IF($D304="",2026,$D304),IF(T$3=12,0.1*$G304,""),IF(2026-T$4&lt;$C304,"",T$4*$G304))</f>
        <v>69888</v>
      </c>
    </row>
    <row r="305" spans="1:20" s="18" customFormat="1" ht="12" customHeight="1" x14ac:dyDescent="0.2">
      <c r="A305" s="17"/>
      <c r="B305" s="16" t="s">
        <v>150</v>
      </c>
      <c r="C305" s="13">
        <v>2021</v>
      </c>
      <c r="D305" s="13"/>
      <c r="E305" s="13">
        <v>2894</v>
      </c>
      <c r="F305" s="13">
        <v>440</v>
      </c>
      <c r="G305" s="21">
        <v>101600</v>
      </c>
      <c r="H305" s="20"/>
      <c r="I305" s="19">
        <f>IF(2026-I$3&gt;IF($D305="",2026,$D305),IF(I$3=12,0.1*$G305,""),IF(2026-I$4&lt;$C305,"",I$4*$G305))</f>
        <v>10160</v>
      </c>
      <c r="J305" s="19">
        <f>IF(2026-J$3&gt;IF($D305="",2026,$D305),IF(J$3=12,0.1*$G305,""),IF(2026-J$4&lt;$C305,"",J$4*$G305))</f>
        <v>13208</v>
      </c>
      <c r="K305" s="19">
        <f>IF(2026-K$3&gt;IF($D305="",2026,$D305),IF(K$3=12,0.1*$G305,""),IF(2026-K$4&lt;$C305,"",K$4*$G305))</f>
        <v>17272</v>
      </c>
      <c r="L305" s="19">
        <f>IF(2026-L$3&gt;IF($D305="",2026,$D305),IF(L$3=12,0.1*$G305,""),IF(2026-L$4&lt;$C305,"",L$4*$G305))</f>
        <v>19304</v>
      </c>
      <c r="M305" s="19">
        <f>IF(2026-M$3&gt;IF($D305="",2026,$D305),IF(M$3=12,0.1*$G305,""),IF(2026-M$4&lt;$C305,"",M$4*$G305))</f>
        <v>24384</v>
      </c>
      <c r="N305" s="19">
        <f>IF(2026-N$3&gt;IF($D305="",2026,$D305),IF(N$3=12,0.1*$G305,""),IF(2026-N$4&lt;$C305,"",N$4*$G305))</f>
        <v>28448.000000000004</v>
      </c>
      <c r="O305" s="19">
        <f>IF(2026-O$3&gt;IF($D305="",2026,$D305),IF(O$3=12,0.1*$G305,""),IF(2026-O$4&lt;$C305,"",O$4*$G305))</f>
        <v>34544</v>
      </c>
      <c r="P305" s="19">
        <f>IF(2026-P$3&gt;IF($D305="",2026,$D305),IF(P$3=12,0.1*$G305,""),IF(2026-P$4&lt;$C305,"",P$4*$G305))</f>
        <v>39624</v>
      </c>
      <c r="Q305" s="19">
        <f>IF(2026-Q$3&gt;IF($D305="",2026,$D305),IF(Q$3=12,0.1*$G305,""),IF(2026-Q$4&lt;$C305,"",Q$4*$G305))</f>
        <v>47752</v>
      </c>
      <c r="R305" s="19">
        <f>IF(2026-R$3&gt;IF($D305="",2026,$D305),IF(R$3=12,0.1*$G305,""),IF(2026-R$4&lt;$C305,"",R$4*$G305))</f>
        <v>56896.000000000007</v>
      </c>
      <c r="S305" s="19">
        <f>IF(2026-S$3&gt;IF($D305="",2026,$D305),IF(S$3=12,0.1*$G305,""),IF(2026-S$4&lt;$C305,"",S$4*$G305))</f>
        <v>68072</v>
      </c>
      <c r="T305" s="19">
        <f>IF(2026-T$3&gt;IF($D305="",2026,$D305),IF(T$3=12,0.1*$G305,""),IF(2026-T$4&lt;$C305,"",T$4*$G305))</f>
        <v>85344</v>
      </c>
    </row>
    <row r="306" spans="1:20" s="18" customFormat="1" ht="12" customHeight="1" x14ac:dyDescent="0.2">
      <c r="A306" s="17"/>
      <c r="B306" s="16" t="s">
        <v>149</v>
      </c>
      <c r="C306" s="13">
        <v>2021</v>
      </c>
      <c r="D306" s="13"/>
      <c r="E306" s="13">
        <v>3996</v>
      </c>
      <c r="F306" s="13">
        <v>460</v>
      </c>
      <c r="G306" s="21">
        <v>120700</v>
      </c>
      <c r="H306" s="20"/>
      <c r="I306" s="19">
        <f>IF(2026-I$3&gt;IF($D306="",2026,$D306),IF(I$3=12,0.1*$G306,""),IF(2026-I$4&lt;$C306,"",I$4*$G306))</f>
        <v>12070</v>
      </c>
      <c r="J306" s="19">
        <f>IF(2026-J$3&gt;IF($D306="",2026,$D306),IF(J$3=12,0.1*$G306,""),IF(2026-J$4&lt;$C306,"",J$4*$G306))</f>
        <v>15691</v>
      </c>
      <c r="K306" s="19">
        <f>IF(2026-K$3&gt;IF($D306="",2026,$D306),IF(K$3=12,0.1*$G306,""),IF(2026-K$4&lt;$C306,"",K$4*$G306))</f>
        <v>20519</v>
      </c>
      <c r="L306" s="19">
        <f>IF(2026-L$3&gt;IF($D306="",2026,$D306),IF(L$3=12,0.1*$G306,""),IF(2026-L$4&lt;$C306,"",L$4*$G306))</f>
        <v>22933</v>
      </c>
      <c r="M306" s="19">
        <f>IF(2026-M$3&gt;IF($D306="",2026,$D306),IF(M$3=12,0.1*$G306,""),IF(2026-M$4&lt;$C306,"",M$4*$G306))</f>
        <v>28968</v>
      </c>
      <c r="N306" s="19">
        <f>IF(2026-N$3&gt;IF($D306="",2026,$D306),IF(N$3=12,0.1*$G306,""),IF(2026-N$4&lt;$C306,"",N$4*$G306))</f>
        <v>33796</v>
      </c>
      <c r="O306" s="19">
        <f>IF(2026-O$3&gt;IF($D306="",2026,$D306),IF(O$3=12,0.1*$G306,""),IF(2026-O$4&lt;$C306,"",O$4*$G306))</f>
        <v>41038</v>
      </c>
      <c r="P306" s="19">
        <f>IF(2026-P$3&gt;IF($D306="",2026,$D306),IF(P$3=12,0.1*$G306,""),IF(2026-P$4&lt;$C306,"",P$4*$G306))</f>
        <v>47073</v>
      </c>
      <c r="Q306" s="19">
        <f>IF(2026-Q$3&gt;IF($D306="",2026,$D306),IF(Q$3=12,0.1*$G306,""),IF(2026-Q$4&lt;$C306,"",Q$4*$G306))</f>
        <v>56729</v>
      </c>
      <c r="R306" s="19">
        <f>IF(2026-R$3&gt;IF($D306="",2026,$D306),IF(R$3=12,0.1*$G306,""),IF(2026-R$4&lt;$C306,"",R$4*$G306))</f>
        <v>67592</v>
      </c>
      <c r="S306" s="19">
        <f>IF(2026-S$3&gt;IF($D306="",2026,$D306),IF(S$3=12,0.1*$G306,""),IF(2026-S$4&lt;$C306,"",S$4*$G306))</f>
        <v>80869</v>
      </c>
      <c r="T306" s="19">
        <f>IF(2026-T$3&gt;IF($D306="",2026,$D306),IF(T$3=12,0.1*$G306,""),IF(2026-T$4&lt;$C306,"",T$4*$G306))</f>
        <v>101388</v>
      </c>
    </row>
    <row r="307" spans="1:20" s="18" customFormat="1" ht="12" customHeight="1" x14ac:dyDescent="0.2">
      <c r="A307" s="17"/>
      <c r="B307" s="16" t="s">
        <v>148</v>
      </c>
      <c r="C307" s="13">
        <v>2021</v>
      </c>
      <c r="D307" s="13"/>
      <c r="E307" s="13">
        <v>2995</v>
      </c>
      <c r="F307" s="13">
        <v>462</v>
      </c>
      <c r="G307" s="21">
        <v>88100</v>
      </c>
      <c r="H307" s="20"/>
      <c r="I307" s="19">
        <f>IF(2026-I$3&gt;IF($D307="",2026,$D307),IF(I$3=12,0.1*$G307,""),IF(2026-I$4&lt;$C307,"",I$4*$G307))</f>
        <v>8810</v>
      </c>
      <c r="J307" s="19">
        <f>IF(2026-J$3&gt;IF($D307="",2026,$D307),IF(J$3=12,0.1*$G307,""),IF(2026-J$4&lt;$C307,"",J$4*$G307))</f>
        <v>11453</v>
      </c>
      <c r="K307" s="19">
        <f>IF(2026-K$3&gt;IF($D307="",2026,$D307),IF(K$3=12,0.1*$G307,""),IF(2026-K$4&lt;$C307,"",K$4*$G307))</f>
        <v>14977.000000000002</v>
      </c>
      <c r="L307" s="19">
        <f>IF(2026-L$3&gt;IF($D307="",2026,$D307),IF(L$3=12,0.1*$G307,""),IF(2026-L$4&lt;$C307,"",L$4*$G307))</f>
        <v>16739</v>
      </c>
      <c r="M307" s="19">
        <f>IF(2026-M$3&gt;IF($D307="",2026,$D307),IF(M$3=12,0.1*$G307,""),IF(2026-M$4&lt;$C307,"",M$4*$G307))</f>
        <v>21144</v>
      </c>
      <c r="N307" s="19">
        <f>IF(2026-N$3&gt;IF($D307="",2026,$D307),IF(N$3=12,0.1*$G307,""),IF(2026-N$4&lt;$C307,"",N$4*$G307))</f>
        <v>24668.000000000004</v>
      </c>
      <c r="O307" s="19">
        <f>IF(2026-O$3&gt;IF($D307="",2026,$D307),IF(O$3=12,0.1*$G307,""),IF(2026-O$4&lt;$C307,"",O$4*$G307))</f>
        <v>29954.000000000004</v>
      </c>
      <c r="P307" s="19">
        <f>IF(2026-P$3&gt;IF($D307="",2026,$D307),IF(P$3=12,0.1*$G307,""),IF(2026-P$4&lt;$C307,"",P$4*$G307))</f>
        <v>34359</v>
      </c>
      <c r="Q307" s="19">
        <f>IF(2026-Q$3&gt;IF($D307="",2026,$D307),IF(Q$3=12,0.1*$G307,""),IF(2026-Q$4&lt;$C307,"",Q$4*$G307))</f>
        <v>41407</v>
      </c>
      <c r="R307" s="19">
        <f>IF(2026-R$3&gt;IF($D307="",2026,$D307),IF(R$3=12,0.1*$G307,""),IF(2026-R$4&lt;$C307,"",R$4*$G307))</f>
        <v>49336.000000000007</v>
      </c>
      <c r="S307" s="19">
        <f>IF(2026-S$3&gt;IF($D307="",2026,$D307),IF(S$3=12,0.1*$G307,""),IF(2026-S$4&lt;$C307,"",S$4*$G307))</f>
        <v>59027</v>
      </c>
      <c r="T307" s="19">
        <f>IF(2026-T$3&gt;IF($D307="",2026,$D307),IF(T$3=12,0.1*$G307,""),IF(2026-T$4&lt;$C307,"",T$4*$G307))</f>
        <v>74004</v>
      </c>
    </row>
    <row r="308" spans="1:20" s="18" customFormat="1" ht="12" customHeight="1" x14ac:dyDescent="0.2">
      <c r="A308" s="17"/>
      <c r="B308" s="16" t="s">
        <v>147</v>
      </c>
      <c r="C308" s="13">
        <v>2021</v>
      </c>
      <c r="D308" s="13"/>
      <c r="E308" s="13">
        <v>3996</v>
      </c>
      <c r="F308" s="13">
        <v>550</v>
      </c>
      <c r="G308" s="21">
        <v>151500</v>
      </c>
      <c r="H308" s="20"/>
      <c r="I308" s="19">
        <f>IF(2026-I$3&gt;IF($D308="",2026,$D308),IF(I$3=12,0.1*$G308,""),IF(2026-I$4&lt;$C308,"",I$4*$G308))</f>
        <v>15150</v>
      </c>
      <c r="J308" s="19">
        <f>IF(2026-J$3&gt;IF($D308="",2026,$D308),IF(J$3=12,0.1*$G308,""),IF(2026-J$4&lt;$C308,"",J$4*$G308))</f>
        <v>19695</v>
      </c>
      <c r="K308" s="19">
        <f>IF(2026-K$3&gt;IF($D308="",2026,$D308),IF(K$3=12,0.1*$G308,""),IF(2026-K$4&lt;$C308,"",K$4*$G308))</f>
        <v>25755.000000000004</v>
      </c>
      <c r="L308" s="19">
        <f>IF(2026-L$3&gt;IF($D308="",2026,$D308),IF(L$3=12,0.1*$G308,""),IF(2026-L$4&lt;$C308,"",L$4*$G308))</f>
        <v>28785</v>
      </c>
      <c r="M308" s="19">
        <f>IF(2026-M$3&gt;IF($D308="",2026,$D308),IF(M$3=12,0.1*$G308,""),IF(2026-M$4&lt;$C308,"",M$4*$G308))</f>
        <v>36360</v>
      </c>
      <c r="N308" s="19">
        <f>IF(2026-N$3&gt;IF($D308="",2026,$D308),IF(N$3=12,0.1*$G308,""),IF(2026-N$4&lt;$C308,"",N$4*$G308))</f>
        <v>42420.000000000007</v>
      </c>
      <c r="O308" s="19">
        <f>IF(2026-O$3&gt;IF($D308="",2026,$D308),IF(O$3=12,0.1*$G308,""),IF(2026-O$4&lt;$C308,"",O$4*$G308))</f>
        <v>51510.000000000007</v>
      </c>
      <c r="P308" s="19">
        <f>IF(2026-P$3&gt;IF($D308="",2026,$D308),IF(P$3=12,0.1*$G308,""),IF(2026-P$4&lt;$C308,"",P$4*$G308))</f>
        <v>59085</v>
      </c>
      <c r="Q308" s="19">
        <f>IF(2026-Q$3&gt;IF($D308="",2026,$D308),IF(Q$3=12,0.1*$G308,""),IF(2026-Q$4&lt;$C308,"",Q$4*$G308))</f>
        <v>71205</v>
      </c>
      <c r="R308" s="19">
        <f>IF(2026-R$3&gt;IF($D308="",2026,$D308),IF(R$3=12,0.1*$G308,""),IF(2026-R$4&lt;$C308,"",R$4*$G308))</f>
        <v>84840.000000000015</v>
      </c>
      <c r="S308" s="19">
        <f>IF(2026-S$3&gt;IF($D308="",2026,$D308),IF(S$3=12,0.1*$G308,""),IF(2026-S$4&lt;$C308,"",S$4*$G308))</f>
        <v>101505</v>
      </c>
      <c r="T308" s="19">
        <f>IF(2026-T$3&gt;IF($D308="",2026,$D308),IF(T$3=12,0.1*$G308,""),IF(2026-T$4&lt;$C308,"",T$4*$G308))</f>
        <v>127260</v>
      </c>
    </row>
    <row r="309" spans="1:20" s="18" customFormat="1" ht="12" customHeight="1" x14ac:dyDescent="0.2">
      <c r="A309" s="17"/>
      <c r="B309" s="16" t="s">
        <v>146</v>
      </c>
      <c r="C309" s="13">
        <v>2021</v>
      </c>
      <c r="D309" s="13"/>
      <c r="E309" s="13">
        <v>3996</v>
      </c>
      <c r="F309" s="13">
        <v>640</v>
      </c>
      <c r="G309" s="21">
        <v>204400</v>
      </c>
      <c r="H309" s="20"/>
      <c r="I309" s="19">
        <f>IF(2026-I$3&gt;IF($D309="",2026,$D309),IF(I$3=12,0.1*$G309,""),IF(2026-I$4&lt;$C309,"",I$4*$G309))</f>
        <v>20440</v>
      </c>
      <c r="J309" s="19">
        <f>IF(2026-J$3&gt;IF($D309="",2026,$D309),IF(J$3=12,0.1*$G309,""),IF(2026-J$4&lt;$C309,"",J$4*$G309))</f>
        <v>26572</v>
      </c>
      <c r="K309" s="19">
        <f>IF(2026-K$3&gt;IF($D309="",2026,$D309),IF(K$3=12,0.1*$G309,""),IF(2026-K$4&lt;$C309,"",K$4*$G309))</f>
        <v>34748</v>
      </c>
      <c r="L309" s="19">
        <f>IF(2026-L$3&gt;IF($D309="",2026,$D309),IF(L$3=12,0.1*$G309,""),IF(2026-L$4&lt;$C309,"",L$4*$G309))</f>
        <v>38836</v>
      </c>
      <c r="M309" s="19">
        <f>IF(2026-M$3&gt;IF($D309="",2026,$D309),IF(M$3=12,0.1*$G309,""),IF(2026-M$4&lt;$C309,"",M$4*$G309))</f>
        <v>49056</v>
      </c>
      <c r="N309" s="19">
        <f>IF(2026-N$3&gt;IF($D309="",2026,$D309),IF(N$3=12,0.1*$G309,""),IF(2026-N$4&lt;$C309,"",N$4*$G309))</f>
        <v>57232.000000000007</v>
      </c>
      <c r="O309" s="19">
        <f>IF(2026-O$3&gt;IF($D309="",2026,$D309),IF(O$3=12,0.1*$G309,""),IF(2026-O$4&lt;$C309,"",O$4*$G309))</f>
        <v>69496</v>
      </c>
      <c r="P309" s="19">
        <f>IF(2026-P$3&gt;IF($D309="",2026,$D309),IF(P$3=12,0.1*$G309,""),IF(2026-P$4&lt;$C309,"",P$4*$G309))</f>
        <v>79716</v>
      </c>
      <c r="Q309" s="19">
        <f>IF(2026-Q$3&gt;IF($D309="",2026,$D309),IF(Q$3=12,0.1*$G309,""),IF(2026-Q$4&lt;$C309,"",Q$4*$G309))</f>
        <v>96068</v>
      </c>
      <c r="R309" s="19">
        <f>IF(2026-R$3&gt;IF($D309="",2026,$D309),IF(R$3=12,0.1*$G309,""),IF(2026-R$4&lt;$C309,"",R$4*$G309))</f>
        <v>114464.00000000001</v>
      </c>
      <c r="S309" s="19">
        <f>IF(2026-S$3&gt;IF($D309="",2026,$D309),IF(S$3=12,0.1*$G309,""),IF(2026-S$4&lt;$C309,"",S$4*$G309))</f>
        <v>136948</v>
      </c>
      <c r="T309" s="19">
        <f>IF(2026-T$3&gt;IF($D309="",2026,$D309),IF(T$3=12,0.1*$G309,""),IF(2026-T$4&lt;$C309,"",T$4*$G309))</f>
        <v>171696</v>
      </c>
    </row>
    <row r="310" spans="1:20" s="18" customFormat="1" ht="12" customHeight="1" x14ac:dyDescent="0.2">
      <c r="A310" s="17"/>
      <c r="B310" s="16"/>
      <c r="C310" s="13"/>
      <c r="D310" s="13"/>
      <c r="E310" s="13"/>
      <c r="F310" s="13"/>
      <c r="G310" s="21"/>
      <c r="H310" s="20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s="18" customFormat="1" ht="12" customHeight="1" x14ac:dyDescent="0.2">
      <c r="A311" s="17"/>
      <c r="B311" s="16" t="s">
        <v>145</v>
      </c>
      <c r="C311" s="13">
        <v>2014</v>
      </c>
      <c r="D311" s="13"/>
      <c r="E311" s="13">
        <v>1984</v>
      </c>
      <c r="F311" s="13">
        <v>252</v>
      </c>
      <c r="G311" s="21">
        <v>55300</v>
      </c>
      <c r="H311" s="20"/>
      <c r="I311" s="19">
        <f>IF(2026-I$3&gt;IF($D311="",2026,$D311),IF(I$3=12,0.1*$G311,""),IF(2026-I$4&lt;$C311,"",I$4*$G311))</f>
        <v>5530</v>
      </c>
      <c r="J311" s="19">
        <f>IF(2026-J$3&gt;IF($D311="",2026,$D311),IF(J$3=12,0.1*$G311,""),IF(2026-J$4&lt;$C311,"",J$4*$G311))</f>
        <v>7189</v>
      </c>
      <c r="K311" s="19">
        <f>IF(2026-K$3&gt;IF($D311="",2026,$D311),IF(K$3=12,0.1*$G311,""),IF(2026-K$4&lt;$C311,"",K$4*$G311))</f>
        <v>9401</v>
      </c>
      <c r="L311" s="19">
        <f>IF(2026-L$3&gt;IF($D311="",2026,$D311),IF(L$3=12,0.1*$G311,""),IF(2026-L$4&lt;$C311,"",L$4*$G311))</f>
        <v>10507</v>
      </c>
      <c r="M311" s="19">
        <f>IF(2026-M$3&gt;IF($D311="",2026,$D311),IF(M$3=12,0.1*$G311,""),IF(2026-M$4&lt;$C311,"",M$4*$G311))</f>
        <v>13272</v>
      </c>
      <c r="N311" s="19">
        <f>IF(2026-N$3&gt;IF($D311="",2026,$D311),IF(N$3=12,0.1*$G311,""),IF(2026-N$4&lt;$C311,"",N$4*$G311))</f>
        <v>15484.000000000002</v>
      </c>
      <c r="O311" s="19">
        <f>IF(2026-O$3&gt;IF($D311="",2026,$D311),IF(O$3=12,0.1*$G311,""),IF(2026-O$4&lt;$C311,"",O$4*$G311))</f>
        <v>18802</v>
      </c>
      <c r="P311" s="19">
        <f>IF(2026-P$3&gt;IF($D311="",2026,$D311),IF(P$3=12,0.1*$G311,""),IF(2026-P$4&lt;$C311,"",P$4*$G311))</f>
        <v>21567</v>
      </c>
      <c r="Q311" s="19">
        <f>IF(2026-Q$3&gt;IF($D311="",2026,$D311),IF(Q$3=12,0.1*$G311,""),IF(2026-Q$4&lt;$C311,"",Q$4*$G311))</f>
        <v>25991</v>
      </c>
      <c r="R311" s="19">
        <f>IF(2026-R$3&gt;IF($D311="",2026,$D311),IF(R$3=12,0.1*$G311,""),IF(2026-R$4&lt;$C311,"",R$4*$G311))</f>
        <v>30968.000000000004</v>
      </c>
      <c r="S311" s="19">
        <f>IF(2026-S$3&gt;IF($D311="",2026,$D311),IF(S$3=12,0.1*$G311,""),IF(2026-S$4&lt;$C311,"",S$4*$G311))</f>
        <v>37051</v>
      </c>
      <c r="T311" s="19">
        <f>IF(2026-T$3&gt;IF($D311="",2026,$D311),IF(T$3=12,0.1*$G311,""),IF(2026-T$4&lt;$C311,"",T$4*$G311))</f>
        <v>46452</v>
      </c>
    </row>
    <row r="312" spans="1:20" s="18" customFormat="1" ht="12" customHeight="1" x14ac:dyDescent="0.2">
      <c r="A312" s="17"/>
      <c r="B312" s="16" t="s">
        <v>144</v>
      </c>
      <c r="C312" s="13">
        <v>2014</v>
      </c>
      <c r="D312" s="13"/>
      <c r="E312" s="13">
        <v>2967</v>
      </c>
      <c r="F312" s="13">
        <v>258</v>
      </c>
      <c r="G312" s="21">
        <v>56400</v>
      </c>
      <c r="H312" s="20"/>
      <c r="I312" s="19">
        <f>IF(2026-I$3&gt;IF($D312="",2026,$D312),IF(I$3=12,0.1*$G312,""),IF(2026-I$4&lt;$C312,"",I$4*$G312))</f>
        <v>5640</v>
      </c>
      <c r="J312" s="19">
        <f>IF(2026-J$3&gt;IF($D312="",2026,$D312),IF(J$3=12,0.1*$G312,""),IF(2026-J$4&lt;$C312,"",J$4*$G312))</f>
        <v>7332</v>
      </c>
      <c r="K312" s="19">
        <f>IF(2026-K$3&gt;IF($D312="",2026,$D312),IF(K$3=12,0.1*$G312,""),IF(2026-K$4&lt;$C312,"",K$4*$G312))</f>
        <v>9588</v>
      </c>
      <c r="L312" s="19">
        <f>IF(2026-L$3&gt;IF($D312="",2026,$D312),IF(L$3=12,0.1*$G312,""),IF(2026-L$4&lt;$C312,"",L$4*$G312))</f>
        <v>10716</v>
      </c>
      <c r="M312" s="19">
        <f>IF(2026-M$3&gt;IF($D312="",2026,$D312),IF(M$3=12,0.1*$G312,""),IF(2026-M$4&lt;$C312,"",M$4*$G312))</f>
        <v>13536</v>
      </c>
      <c r="N312" s="19">
        <f>IF(2026-N$3&gt;IF($D312="",2026,$D312),IF(N$3=12,0.1*$G312,""),IF(2026-N$4&lt;$C312,"",N$4*$G312))</f>
        <v>15792.000000000002</v>
      </c>
      <c r="O312" s="19">
        <f>IF(2026-O$3&gt;IF($D312="",2026,$D312),IF(O$3=12,0.1*$G312,""),IF(2026-O$4&lt;$C312,"",O$4*$G312))</f>
        <v>19176</v>
      </c>
      <c r="P312" s="19">
        <f>IF(2026-P$3&gt;IF($D312="",2026,$D312),IF(P$3=12,0.1*$G312,""),IF(2026-P$4&lt;$C312,"",P$4*$G312))</f>
        <v>21996</v>
      </c>
      <c r="Q312" s="19">
        <f>IF(2026-Q$3&gt;IF($D312="",2026,$D312),IF(Q$3=12,0.1*$G312,""),IF(2026-Q$4&lt;$C312,"",Q$4*$G312))</f>
        <v>26508</v>
      </c>
      <c r="R312" s="19">
        <f>IF(2026-R$3&gt;IF($D312="",2026,$D312),IF(R$3=12,0.1*$G312,""),IF(2026-R$4&lt;$C312,"",R$4*$G312))</f>
        <v>31584.000000000004</v>
      </c>
      <c r="S312" s="19">
        <f>IF(2026-S$3&gt;IF($D312="",2026,$D312),IF(S$3=12,0.1*$G312,""),IF(2026-S$4&lt;$C312,"",S$4*$G312))</f>
        <v>37788</v>
      </c>
      <c r="T312" s="19">
        <f>IF(2026-T$3&gt;IF($D312="",2026,$D312),IF(T$3=12,0.1*$G312,""),IF(2026-T$4&lt;$C312,"",T$4*$G312))</f>
        <v>47376</v>
      </c>
    </row>
    <row r="313" spans="1:20" s="18" customFormat="1" ht="12" customHeight="1" x14ac:dyDescent="0.2">
      <c r="A313" s="17"/>
      <c r="B313" s="16" t="s">
        <v>143</v>
      </c>
      <c r="C313" s="13">
        <v>2014</v>
      </c>
      <c r="D313" s="13"/>
      <c r="E313" s="13">
        <v>2967</v>
      </c>
      <c r="F313" s="13">
        <v>258</v>
      </c>
      <c r="G313" s="21">
        <v>58700</v>
      </c>
      <c r="H313" s="20"/>
      <c r="I313" s="19">
        <f>IF(2026-I$3&gt;IF($D313="",2026,$D313),IF(I$3=12,0.1*$G313,""),IF(2026-I$4&lt;$C313,"",I$4*$G313))</f>
        <v>5870</v>
      </c>
      <c r="J313" s="19">
        <f>IF(2026-J$3&gt;IF($D313="",2026,$D313),IF(J$3=12,0.1*$G313,""),IF(2026-J$4&lt;$C313,"",J$4*$G313))</f>
        <v>7631</v>
      </c>
      <c r="K313" s="19">
        <f>IF(2026-K$3&gt;IF($D313="",2026,$D313),IF(K$3=12,0.1*$G313,""),IF(2026-K$4&lt;$C313,"",K$4*$G313))</f>
        <v>9979</v>
      </c>
      <c r="L313" s="19">
        <f>IF(2026-L$3&gt;IF($D313="",2026,$D313),IF(L$3=12,0.1*$G313,""),IF(2026-L$4&lt;$C313,"",L$4*$G313))</f>
        <v>11153</v>
      </c>
      <c r="M313" s="19">
        <f>IF(2026-M$3&gt;IF($D313="",2026,$D313),IF(M$3=12,0.1*$G313,""),IF(2026-M$4&lt;$C313,"",M$4*$G313))</f>
        <v>14088</v>
      </c>
      <c r="N313" s="19">
        <f>IF(2026-N$3&gt;IF($D313="",2026,$D313),IF(N$3=12,0.1*$G313,""),IF(2026-N$4&lt;$C313,"",N$4*$G313))</f>
        <v>16436</v>
      </c>
      <c r="O313" s="19">
        <f>IF(2026-O$3&gt;IF($D313="",2026,$D313),IF(O$3=12,0.1*$G313,""),IF(2026-O$4&lt;$C313,"",O$4*$G313))</f>
        <v>19958</v>
      </c>
      <c r="P313" s="19">
        <f>IF(2026-P$3&gt;IF($D313="",2026,$D313),IF(P$3=12,0.1*$G313,""),IF(2026-P$4&lt;$C313,"",P$4*$G313))</f>
        <v>22893</v>
      </c>
      <c r="Q313" s="19">
        <f>IF(2026-Q$3&gt;IF($D313="",2026,$D313),IF(Q$3=12,0.1*$G313,""),IF(2026-Q$4&lt;$C313,"",Q$4*$G313))</f>
        <v>27589</v>
      </c>
      <c r="R313" s="19">
        <f>IF(2026-R$3&gt;IF($D313="",2026,$D313),IF(R$3=12,0.1*$G313,""),IF(2026-R$4&lt;$C313,"",R$4*$G313))</f>
        <v>32872</v>
      </c>
      <c r="S313" s="19">
        <f>IF(2026-S$3&gt;IF($D313="",2026,$D313),IF(S$3=12,0.1*$G313,""),IF(2026-S$4&lt;$C313,"",S$4*$G313))</f>
        <v>39329</v>
      </c>
      <c r="T313" s="19">
        <f>IF(2026-T$3&gt;IF($D313="",2026,$D313),IF(T$3=12,0.1*$G313,""),IF(2026-T$4&lt;$C313,"",T$4*$G313))</f>
        <v>49308</v>
      </c>
    </row>
    <row r="314" spans="1:20" s="18" customFormat="1" ht="12" customHeight="1" x14ac:dyDescent="0.2">
      <c r="A314" s="17"/>
      <c r="B314" s="16" t="s">
        <v>142</v>
      </c>
      <c r="C314" s="13">
        <v>2014</v>
      </c>
      <c r="D314" s="13"/>
      <c r="E314" s="13">
        <v>2967</v>
      </c>
      <c r="F314" s="13">
        <v>258</v>
      </c>
      <c r="G314" s="21">
        <v>55300</v>
      </c>
      <c r="H314" s="20"/>
      <c r="I314" s="19">
        <f>IF(2026-I$3&gt;IF($D314="",2026,$D314),IF(I$3=12,0.1*$G314,""),IF(2026-I$4&lt;$C314,"",I$4*$G314))</f>
        <v>5530</v>
      </c>
      <c r="J314" s="19">
        <f>IF(2026-J$3&gt;IF($D314="",2026,$D314),IF(J$3=12,0.1*$G314,""),IF(2026-J$4&lt;$C314,"",J$4*$G314))</f>
        <v>7189</v>
      </c>
      <c r="K314" s="19">
        <f>IF(2026-K$3&gt;IF($D314="",2026,$D314),IF(K$3=12,0.1*$G314,""),IF(2026-K$4&lt;$C314,"",K$4*$G314))</f>
        <v>9401</v>
      </c>
      <c r="L314" s="19">
        <f>IF(2026-L$3&gt;IF($D314="",2026,$D314),IF(L$3=12,0.1*$G314,""),IF(2026-L$4&lt;$C314,"",L$4*$G314))</f>
        <v>10507</v>
      </c>
      <c r="M314" s="19">
        <f>IF(2026-M$3&gt;IF($D314="",2026,$D314),IF(M$3=12,0.1*$G314,""),IF(2026-M$4&lt;$C314,"",M$4*$G314))</f>
        <v>13272</v>
      </c>
      <c r="N314" s="19">
        <f>IF(2026-N$3&gt;IF($D314="",2026,$D314),IF(N$3=12,0.1*$G314,""),IF(2026-N$4&lt;$C314,"",N$4*$G314))</f>
        <v>15484.000000000002</v>
      </c>
      <c r="O314" s="19">
        <f>IF(2026-O$3&gt;IF($D314="",2026,$D314),IF(O$3=12,0.1*$G314,""),IF(2026-O$4&lt;$C314,"",O$4*$G314))</f>
        <v>18802</v>
      </c>
      <c r="P314" s="19">
        <f>IF(2026-P$3&gt;IF($D314="",2026,$D314),IF(P$3=12,0.1*$G314,""),IF(2026-P$4&lt;$C314,"",P$4*$G314))</f>
        <v>21567</v>
      </c>
      <c r="Q314" s="19">
        <f>IF(2026-Q$3&gt;IF($D314="",2026,$D314),IF(Q$3=12,0.1*$G314,""),IF(2026-Q$4&lt;$C314,"",Q$4*$G314))</f>
        <v>25991</v>
      </c>
      <c r="R314" s="19">
        <f>IF(2026-R$3&gt;IF($D314="",2026,$D314),IF(R$3=12,0.1*$G314,""),IF(2026-R$4&lt;$C314,"",R$4*$G314))</f>
        <v>30968.000000000004</v>
      </c>
      <c r="S314" s="19">
        <f>IF(2026-S$3&gt;IF($D314="",2026,$D314),IF(S$3=12,0.1*$G314,""),IF(2026-S$4&lt;$C314,"",S$4*$G314))</f>
        <v>37051</v>
      </c>
      <c r="T314" s="19">
        <f>IF(2026-T$3&gt;IF($D314="",2026,$D314),IF(T$3=12,0.1*$G314,""),IF(2026-T$4&lt;$C314,"",T$4*$G314))</f>
        <v>46452</v>
      </c>
    </row>
    <row r="315" spans="1:20" s="18" customFormat="1" ht="12" customHeight="1" x14ac:dyDescent="0.2">
      <c r="A315" s="17"/>
      <c r="B315" s="16" t="s">
        <v>141</v>
      </c>
      <c r="C315" s="13">
        <v>2014</v>
      </c>
      <c r="D315" s="13"/>
      <c r="E315" s="13">
        <v>2967</v>
      </c>
      <c r="F315" s="13">
        <v>258</v>
      </c>
      <c r="G315" s="21">
        <v>57600</v>
      </c>
      <c r="H315" s="20"/>
      <c r="I315" s="19">
        <f>IF(2026-I$3&gt;IF($D315="",2026,$D315),IF(I$3=12,0.1*$G315,""),IF(2026-I$4&lt;$C315,"",I$4*$G315))</f>
        <v>5760</v>
      </c>
      <c r="J315" s="19">
        <f>IF(2026-J$3&gt;IF($D315="",2026,$D315),IF(J$3=12,0.1*$G315,""),IF(2026-J$4&lt;$C315,"",J$4*$G315))</f>
        <v>7488</v>
      </c>
      <c r="K315" s="19">
        <f>IF(2026-K$3&gt;IF($D315="",2026,$D315),IF(K$3=12,0.1*$G315,""),IF(2026-K$4&lt;$C315,"",K$4*$G315))</f>
        <v>9792</v>
      </c>
      <c r="L315" s="19">
        <f>IF(2026-L$3&gt;IF($D315="",2026,$D315),IF(L$3=12,0.1*$G315,""),IF(2026-L$4&lt;$C315,"",L$4*$G315))</f>
        <v>10944</v>
      </c>
      <c r="M315" s="19">
        <f>IF(2026-M$3&gt;IF($D315="",2026,$D315),IF(M$3=12,0.1*$G315,""),IF(2026-M$4&lt;$C315,"",M$4*$G315))</f>
        <v>13824</v>
      </c>
      <c r="N315" s="19">
        <f>IF(2026-N$3&gt;IF($D315="",2026,$D315),IF(N$3=12,0.1*$G315,""),IF(2026-N$4&lt;$C315,"",N$4*$G315))</f>
        <v>16128.000000000002</v>
      </c>
      <c r="O315" s="19">
        <f>IF(2026-O$3&gt;IF($D315="",2026,$D315),IF(O$3=12,0.1*$G315,""),IF(2026-O$4&lt;$C315,"",O$4*$G315))</f>
        <v>19584</v>
      </c>
      <c r="P315" s="19">
        <f>IF(2026-P$3&gt;IF($D315="",2026,$D315),IF(P$3=12,0.1*$G315,""),IF(2026-P$4&lt;$C315,"",P$4*$G315))</f>
        <v>22464</v>
      </c>
      <c r="Q315" s="19">
        <f>IF(2026-Q$3&gt;IF($D315="",2026,$D315),IF(Q$3=12,0.1*$G315,""),IF(2026-Q$4&lt;$C315,"",Q$4*$G315))</f>
        <v>27072</v>
      </c>
      <c r="R315" s="19">
        <f>IF(2026-R$3&gt;IF($D315="",2026,$D315),IF(R$3=12,0.1*$G315,""),IF(2026-R$4&lt;$C315,"",R$4*$G315))</f>
        <v>32256.000000000004</v>
      </c>
      <c r="S315" s="19">
        <f>IF(2026-S$3&gt;IF($D315="",2026,$D315),IF(S$3=12,0.1*$G315,""),IF(2026-S$4&lt;$C315,"",S$4*$G315))</f>
        <v>38592</v>
      </c>
      <c r="T315" s="19">
        <f>IF(2026-T$3&gt;IF($D315="",2026,$D315),IF(T$3=12,0.1*$G315,""),IF(2026-T$4&lt;$C315,"",T$4*$G315))</f>
        <v>48384</v>
      </c>
    </row>
    <row r="316" spans="1:20" s="18" customFormat="1" ht="12" customHeight="1" x14ac:dyDescent="0.2">
      <c r="A316" s="17"/>
      <c r="B316" s="16" t="s">
        <v>140</v>
      </c>
      <c r="C316" s="13">
        <v>2014</v>
      </c>
      <c r="D316" s="13"/>
      <c r="E316" s="13">
        <v>2997</v>
      </c>
      <c r="F316" s="13">
        <v>340</v>
      </c>
      <c r="G316" s="21">
        <v>59700</v>
      </c>
      <c r="H316" s="20"/>
      <c r="I316" s="19">
        <f>IF(2026-I$3&gt;IF($D316="",2026,$D316),IF(I$3=12,0.1*$G316,""),IF(2026-I$4&lt;$C316,"",I$4*$G316))</f>
        <v>5970</v>
      </c>
      <c r="J316" s="19">
        <f>IF(2026-J$3&gt;IF($D316="",2026,$D316),IF(J$3=12,0.1*$G316,""),IF(2026-J$4&lt;$C316,"",J$4*$G316))</f>
        <v>7761</v>
      </c>
      <c r="K316" s="19">
        <f>IF(2026-K$3&gt;IF($D316="",2026,$D316),IF(K$3=12,0.1*$G316,""),IF(2026-K$4&lt;$C316,"",K$4*$G316))</f>
        <v>10149</v>
      </c>
      <c r="L316" s="19">
        <f>IF(2026-L$3&gt;IF($D316="",2026,$D316),IF(L$3=12,0.1*$G316,""),IF(2026-L$4&lt;$C316,"",L$4*$G316))</f>
        <v>11343</v>
      </c>
      <c r="M316" s="19">
        <f>IF(2026-M$3&gt;IF($D316="",2026,$D316),IF(M$3=12,0.1*$G316,""),IF(2026-M$4&lt;$C316,"",M$4*$G316))</f>
        <v>14328</v>
      </c>
      <c r="N316" s="19">
        <f>IF(2026-N$3&gt;IF($D316="",2026,$D316),IF(N$3=12,0.1*$G316,""),IF(2026-N$4&lt;$C316,"",N$4*$G316))</f>
        <v>16716</v>
      </c>
      <c r="O316" s="19">
        <f>IF(2026-O$3&gt;IF($D316="",2026,$D316),IF(O$3=12,0.1*$G316,""),IF(2026-O$4&lt;$C316,"",O$4*$G316))</f>
        <v>20298</v>
      </c>
      <c r="P316" s="19">
        <f>IF(2026-P$3&gt;IF($D316="",2026,$D316),IF(P$3=12,0.1*$G316,""),IF(2026-P$4&lt;$C316,"",P$4*$G316))</f>
        <v>23283</v>
      </c>
      <c r="Q316" s="19">
        <f>IF(2026-Q$3&gt;IF($D316="",2026,$D316),IF(Q$3=12,0.1*$G316,""),IF(2026-Q$4&lt;$C316,"",Q$4*$G316))</f>
        <v>28059</v>
      </c>
      <c r="R316" s="19">
        <f>IF(2026-R$3&gt;IF($D316="",2026,$D316),IF(R$3=12,0.1*$G316,""),IF(2026-R$4&lt;$C316,"",R$4*$G316))</f>
        <v>33432</v>
      </c>
      <c r="S316" s="19">
        <f>IF(2026-S$3&gt;IF($D316="",2026,$D316),IF(S$3=12,0.1*$G316,""),IF(2026-S$4&lt;$C316,"",S$4*$G316))</f>
        <v>39999</v>
      </c>
      <c r="T316" s="19">
        <f>IF(2026-T$3&gt;IF($D316="",2026,$D316),IF(T$3=12,0.1*$G316,""),IF(2026-T$4&lt;$C316,"",T$4*$G316))</f>
        <v>50148</v>
      </c>
    </row>
    <row r="317" spans="1:20" s="18" customFormat="1" ht="12" customHeight="1" x14ac:dyDescent="0.2">
      <c r="A317" s="17"/>
      <c r="B317" s="16" t="s">
        <v>139</v>
      </c>
      <c r="C317" s="13">
        <v>2014</v>
      </c>
      <c r="D317" s="13"/>
      <c r="E317" s="13">
        <v>2997</v>
      </c>
      <c r="F317" s="13">
        <v>360</v>
      </c>
      <c r="G317" s="21">
        <v>75200</v>
      </c>
      <c r="H317" s="20"/>
      <c r="I317" s="19">
        <f>IF(2026-I$3&gt;IF($D317="",2026,$D317),IF(I$3=12,0.1*$G317,""),IF(2026-I$4&lt;$C317,"",I$4*$G317))</f>
        <v>7520</v>
      </c>
      <c r="J317" s="19">
        <f>IF(2026-J$3&gt;IF($D317="",2026,$D317),IF(J$3=12,0.1*$G317,""),IF(2026-J$4&lt;$C317,"",J$4*$G317))</f>
        <v>9776</v>
      </c>
      <c r="K317" s="19">
        <f>IF(2026-K$3&gt;IF($D317="",2026,$D317),IF(K$3=12,0.1*$G317,""),IF(2026-K$4&lt;$C317,"",K$4*$G317))</f>
        <v>12784.000000000002</v>
      </c>
      <c r="L317" s="19">
        <f>IF(2026-L$3&gt;IF($D317="",2026,$D317),IF(L$3=12,0.1*$G317,""),IF(2026-L$4&lt;$C317,"",L$4*$G317))</f>
        <v>14288</v>
      </c>
      <c r="M317" s="19">
        <f>IF(2026-M$3&gt;IF($D317="",2026,$D317),IF(M$3=12,0.1*$G317,""),IF(2026-M$4&lt;$C317,"",M$4*$G317))</f>
        <v>18048</v>
      </c>
      <c r="N317" s="19">
        <f>IF(2026-N$3&gt;IF($D317="",2026,$D317),IF(N$3=12,0.1*$G317,""),IF(2026-N$4&lt;$C317,"",N$4*$G317))</f>
        <v>21056.000000000004</v>
      </c>
      <c r="O317" s="19">
        <f>IF(2026-O$3&gt;IF($D317="",2026,$D317),IF(O$3=12,0.1*$G317,""),IF(2026-O$4&lt;$C317,"",O$4*$G317))</f>
        <v>25568.000000000004</v>
      </c>
      <c r="P317" s="19">
        <f>IF(2026-P$3&gt;IF($D317="",2026,$D317),IF(P$3=12,0.1*$G317,""),IF(2026-P$4&lt;$C317,"",P$4*$G317))</f>
        <v>29328</v>
      </c>
      <c r="Q317" s="19">
        <f>IF(2026-Q$3&gt;IF($D317="",2026,$D317),IF(Q$3=12,0.1*$G317,""),IF(2026-Q$4&lt;$C317,"",Q$4*$G317))</f>
        <v>35344</v>
      </c>
      <c r="R317" s="19">
        <f>IF(2026-R$3&gt;IF($D317="",2026,$D317),IF(R$3=12,0.1*$G317,""),IF(2026-R$4&lt;$C317,"",R$4*$G317))</f>
        <v>42112.000000000007</v>
      </c>
      <c r="S317" s="19">
        <f>IF(2026-S$3&gt;IF($D317="",2026,$D317),IF(S$3=12,0.1*$G317,""),IF(2026-S$4&lt;$C317,"",S$4*$G317))</f>
        <v>50384</v>
      </c>
      <c r="T317" s="19">
        <f>IF(2026-T$3&gt;IF($D317="",2026,$D317),IF(T$3=12,0.1*$G317,""),IF(2026-T$4&lt;$C317,"",T$4*$G317))</f>
        <v>63168</v>
      </c>
    </row>
    <row r="318" spans="1:20" s="18" customFormat="1" ht="12" customHeight="1" x14ac:dyDescent="0.2">
      <c r="A318" s="17"/>
      <c r="B318" s="16" t="s">
        <v>138</v>
      </c>
      <c r="C318" s="13">
        <v>2014</v>
      </c>
      <c r="D318" s="13"/>
      <c r="E318" s="13">
        <v>3604</v>
      </c>
      <c r="F318" s="13">
        <v>400</v>
      </c>
      <c r="G318" s="21">
        <v>81600</v>
      </c>
      <c r="H318" s="20"/>
      <c r="I318" s="19">
        <f>IF(2026-I$3&gt;IF($D318="",2026,$D318),IF(I$3=12,0.1*$G318,""),IF(2026-I$4&lt;$C318,"",I$4*$G318))</f>
        <v>8160</v>
      </c>
      <c r="J318" s="19">
        <f>IF(2026-J$3&gt;IF($D318="",2026,$D318),IF(J$3=12,0.1*$G318,""),IF(2026-J$4&lt;$C318,"",J$4*$G318))</f>
        <v>10608</v>
      </c>
      <c r="K318" s="19">
        <f>IF(2026-K$3&gt;IF($D318="",2026,$D318),IF(K$3=12,0.1*$G318,""),IF(2026-K$4&lt;$C318,"",K$4*$G318))</f>
        <v>13872.000000000002</v>
      </c>
      <c r="L318" s="19">
        <f>IF(2026-L$3&gt;IF($D318="",2026,$D318),IF(L$3=12,0.1*$G318,""),IF(2026-L$4&lt;$C318,"",L$4*$G318))</f>
        <v>15504</v>
      </c>
      <c r="M318" s="19">
        <f>IF(2026-M$3&gt;IF($D318="",2026,$D318),IF(M$3=12,0.1*$G318,""),IF(2026-M$4&lt;$C318,"",M$4*$G318))</f>
        <v>19584</v>
      </c>
      <c r="N318" s="19">
        <f>IF(2026-N$3&gt;IF($D318="",2026,$D318),IF(N$3=12,0.1*$G318,""),IF(2026-N$4&lt;$C318,"",N$4*$G318))</f>
        <v>22848.000000000004</v>
      </c>
      <c r="O318" s="19">
        <f>IF(2026-O$3&gt;IF($D318="",2026,$D318),IF(O$3=12,0.1*$G318,""),IF(2026-O$4&lt;$C318,"",O$4*$G318))</f>
        <v>27744.000000000004</v>
      </c>
      <c r="P318" s="19">
        <f>IF(2026-P$3&gt;IF($D318="",2026,$D318),IF(P$3=12,0.1*$G318,""),IF(2026-P$4&lt;$C318,"",P$4*$G318))</f>
        <v>31824</v>
      </c>
      <c r="Q318" s="19">
        <f>IF(2026-Q$3&gt;IF($D318="",2026,$D318),IF(Q$3=12,0.1*$G318,""),IF(2026-Q$4&lt;$C318,"",Q$4*$G318))</f>
        <v>38352</v>
      </c>
      <c r="R318" s="19">
        <f>IF(2026-R$3&gt;IF($D318="",2026,$D318),IF(R$3=12,0.1*$G318,""),IF(2026-R$4&lt;$C318,"",R$4*$G318))</f>
        <v>45696.000000000007</v>
      </c>
      <c r="S318" s="19">
        <f>IF(2026-S$3&gt;IF($D318="",2026,$D318),IF(S$3=12,0.1*$G318,""),IF(2026-S$4&lt;$C318,"",S$4*$G318))</f>
        <v>54672</v>
      </c>
      <c r="T318" s="19">
        <f>IF(2026-T$3&gt;IF($D318="",2026,$D318),IF(T$3=12,0.1*$G318,""),IF(2026-T$4&lt;$C318,"",T$4*$G318))</f>
        <v>68544</v>
      </c>
    </row>
    <row r="319" spans="1:20" s="18" customFormat="1" ht="12" customHeight="1" x14ac:dyDescent="0.2">
      <c r="A319" s="17"/>
      <c r="B319" s="16" t="s">
        <v>137</v>
      </c>
      <c r="C319" s="13">
        <v>2017</v>
      </c>
      <c r="D319" s="13"/>
      <c r="E319" s="13">
        <v>1984</v>
      </c>
      <c r="F319" s="13">
        <v>252</v>
      </c>
      <c r="G319" s="21">
        <v>55300</v>
      </c>
      <c r="H319" s="20"/>
      <c r="I319" s="19">
        <f>IF(2026-I$3&gt;IF($D319="",2026,$D319),IF(I$3=12,0.1*$G319,""),IF(2026-I$4&lt;$C319,"",I$4*$G319))</f>
        <v>5530</v>
      </c>
      <c r="J319" s="19">
        <f>IF(2026-J$3&gt;IF($D319="",2026,$D319),IF(J$3=12,0.1*$G319,""),IF(2026-J$4&lt;$C319,"",J$4*$G319))</f>
        <v>7189</v>
      </c>
      <c r="K319" s="19">
        <f>IF(2026-K$3&gt;IF($D319="",2026,$D319),IF(K$3=12,0.1*$G319,""),IF(2026-K$4&lt;$C319,"",K$4*$G319))</f>
        <v>9401</v>
      </c>
      <c r="L319" s="19">
        <f>IF(2026-L$3&gt;IF($D319="",2026,$D319),IF(L$3=12,0.1*$G319,""),IF(2026-L$4&lt;$C319,"",L$4*$G319))</f>
        <v>10507</v>
      </c>
      <c r="M319" s="19">
        <f>IF(2026-M$3&gt;IF($D319="",2026,$D319),IF(M$3=12,0.1*$G319,""),IF(2026-M$4&lt;$C319,"",M$4*$G319))</f>
        <v>13272</v>
      </c>
      <c r="N319" s="19">
        <f>IF(2026-N$3&gt;IF($D319="",2026,$D319),IF(N$3=12,0.1*$G319,""),IF(2026-N$4&lt;$C319,"",N$4*$G319))</f>
        <v>15484.000000000002</v>
      </c>
      <c r="O319" s="19">
        <f>IF(2026-O$3&gt;IF($D319="",2026,$D319),IF(O$3=12,0.1*$G319,""),IF(2026-O$4&lt;$C319,"",O$4*$G319))</f>
        <v>18802</v>
      </c>
      <c r="P319" s="19">
        <f>IF(2026-P$3&gt;IF($D319="",2026,$D319),IF(P$3=12,0.1*$G319,""),IF(2026-P$4&lt;$C319,"",P$4*$G319))</f>
        <v>21567</v>
      </c>
      <c r="Q319" s="19">
        <f>IF(2026-Q$3&gt;IF($D319="",2026,$D319),IF(Q$3=12,0.1*$G319,""),IF(2026-Q$4&lt;$C319,"",Q$4*$G319))</f>
        <v>25991</v>
      </c>
      <c r="R319" s="19">
        <f>IF(2026-R$3&gt;IF($D319="",2026,$D319),IF(R$3=12,0.1*$G319,""),IF(2026-R$4&lt;$C319,"",R$4*$G319))</f>
        <v>30968.000000000004</v>
      </c>
      <c r="S319" s="19">
        <f>IF(2026-S$3&gt;IF($D319="",2026,$D319),IF(S$3=12,0.1*$G319,""),IF(2026-S$4&lt;$C319,"",S$4*$G319))</f>
        <v>37051</v>
      </c>
      <c r="T319" s="19">
        <f>IF(2026-T$3&gt;IF($D319="",2026,$D319),IF(T$3=12,0.1*$G319,""),IF(2026-T$4&lt;$C319,"",T$4*$G319))</f>
        <v>46452</v>
      </c>
    </row>
    <row r="320" spans="1:20" s="18" customFormat="1" ht="12" customHeight="1" x14ac:dyDescent="0.2">
      <c r="A320" s="17"/>
      <c r="B320" s="16" t="s">
        <v>136</v>
      </c>
      <c r="C320" s="13">
        <v>2017</v>
      </c>
      <c r="D320" s="13"/>
      <c r="E320" s="13">
        <v>2967</v>
      </c>
      <c r="F320" s="13">
        <v>258</v>
      </c>
      <c r="G320" s="21">
        <v>57900</v>
      </c>
      <c r="H320" s="20"/>
      <c r="I320" s="19">
        <f>IF(2026-I$3&gt;IF($D320="",2026,$D320),IF(I$3=12,0.1*$G320,""),IF(2026-I$4&lt;$C320,"",I$4*$G320))</f>
        <v>5790</v>
      </c>
      <c r="J320" s="19">
        <f>IF(2026-J$3&gt;IF($D320="",2026,$D320),IF(J$3=12,0.1*$G320,""),IF(2026-J$4&lt;$C320,"",J$4*$G320))</f>
        <v>7527</v>
      </c>
      <c r="K320" s="19">
        <f>IF(2026-K$3&gt;IF($D320="",2026,$D320),IF(K$3=12,0.1*$G320,""),IF(2026-K$4&lt;$C320,"",K$4*$G320))</f>
        <v>9843</v>
      </c>
      <c r="L320" s="19">
        <f>IF(2026-L$3&gt;IF($D320="",2026,$D320),IF(L$3=12,0.1*$G320,""),IF(2026-L$4&lt;$C320,"",L$4*$G320))</f>
        <v>11001</v>
      </c>
      <c r="M320" s="19">
        <f>IF(2026-M$3&gt;IF($D320="",2026,$D320),IF(M$3=12,0.1*$G320,""),IF(2026-M$4&lt;$C320,"",M$4*$G320))</f>
        <v>13896</v>
      </c>
      <c r="N320" s="19">
        <f>IF(2026-N$3&gt;IF($D320="",2026,$D320),IF(N$3=12,0.1*$G320,""),IF(2026-N$4&lt;$C320,"",N$4*$G320))</f>
        <v>16212.000000000002</v>
      </c>
      <c r="O320" s="19">
        <f>IF(2026-O$3&gt;IF($D320="",2026,$D320),IF(O$3=12,0.1*$G320,""),IF(2026-O$4&lt;$C320,"",O$4*$G320))</f>
        <v>19686</v>
      </c>
      <c r="P320" s="19">
        <f>IF(2026-P$3&gt;IF($D320="",2026,$D320),IF(P$3=12,0.1*$G320,""),IF(2026-P$4&lt;$C320,"",P$4*$G320))</f>
        <v>22581</v>
      </c>
      <c r="Q320" s="19">
        <f>IF(2026-Q$3&gt;IF($D320="",2026,$D320),IF(Q$3=12,0.1*$G320,""),IF(2026-Q$4&lt;$C320,"",Q$4*$G320))</f>
        <v>27213</v>
      </c>
      <c r="R320" s="19">
        <f>IF(2026-R$3&gt;IF($D320="",2026,$D320),IF(R$3=12,0.1*$G320,""),IF(2026-R$4&lt;$C320,"",R$4*$G320))</f>
        <v>32424.000000000004</v>
      </c>
      <c r="S320" s="19">
        <f>IF(2026-S$3&gt;IF($D320="",2026,$D320),IF(S$3=12,0.1*$G320,""),IF(2026-S$4&lt;$C320,"",S$4*$G320))</f>
        <v>38793</v>
      </c>
      <c r="T320" s="19">
        <f>IF(2026-T$3&gt;IF($D320="",2026,$D320),IF(T$3=12,0.1*$G320,""),IF(2026-T$4&lt;$C320,"",T$4*$G320))</f>
        <v>48636</v>
      </c>
    </row>
    <row r="321" spans="1:20" s="18" customFormat="1" ht="12" customHeight="1" x14ac:dyDescent="0.2">
      <c r="A321" s="17"/>
      <c r="B321" s="16" t="s">
        <v>135</v>
      </c>
      <c r="C321" s="13">
        <v>2017</v>
      </c>
      <c r="D321" s="13"/>
      <c r="E321" s="13">
        <v>2967</v>
      </c>
      <c r="F321" s="13">
        <v>258</v>
      </c>
      <c r="G321" s="21">
        <v>60100</v>
      </c>
      <c r="H321" s="20"/>
      <c r="I321" s="19">
        <f>IF(2026-I$3&gt;IF($D321="",2026,$D321),IF(I$3=12,0.1*$G321,""),IF(2026-I$4&lt;$C321,"",I$4*$G321))</f>
        <v>6010</v>
      </c>
      <c r="J321" s="19">
        <f>IF(2026-J$3&gt;IF($D321="",2026,$D321),IF(J$3=12,0.1*$G321,""),IF(2026-J$4&lt;$C321,"",J$4*$G321))</f>
        <v>7813</v>
      </c>
      <c r="K321" s="19">
        <f>IF(2026-K$3&gt;IF($D321="",2026,$D321),IF(K$3=12,0.1*$G321,""),IF(2026-K$4&lt;$C321,"",K$4*$G321))</f>
        <v>10217</v>
      </c>
      <c r="L321" s="19">
        <f>IF(2026-L$3&gt;IF($D321="",2026,$D321),IF(L$3=12,0.1*$G321,""),IF(2026-L$4&lt;$C321,"",L$4*$G321))</f>
        <v>11419</v>
      </c>
      <c r="M321" s="19">
        <f>IF(2026-M$3&gt;IF($D321="",2026,$D321),IF(M$3=12,0.1*$G321,""),IF(2026-M$4&lt;$C321,"",M$4*$G321))</f>
        <v>14424</v>
      </c>
      <c r="N321" s="19">
        <f>IF(2026-N$3&gt;IF($D321="",2026,$D321),IF(N$3=12,0.1*$G321,""),IF(2026-N$4&lt;$C321,"",N$4*$G321))</f>
        <v>16828</v>
      </c>
      <c r="O321" s="19">
        <f>IF(2026-O$3&gt;IF($D321="",2026,$D321),IF(O$3=12,0.1*$G321,""),IF(2026-O$4&lt;$C321,"",O$4*$G321))</f>
        <v>20434</v>
      </c>
      <c r="P321" s="19">
        <f>IF(2026-P$3&gt;IF($D321="",2026,$D321),IF(P$3=12,0.1*$G321,""),IF(2026-P$4&lt;$C321,"",P$4*$G321))</f>
        <v>23439</v>
      </c>
      <c r="Q321" s="19">
        <f>IF(2026-Q$3&gt;IF($D321="",2026,$D321),IF(Q$3=12,0.1*$G321,""),IF(2026-Q$4&lt;$C321,"",Q$4*$G321))</f>
        <v>28247</v>
      </c>
      <c r="R321" s="19">
        <f>IF(2026-R$3&gt;IF($D321="",2026,$D321),IF(R$3=12,0.1*$G321,""),IF(2026-R$4&lt;$C321,"",R$4*$G321))</f>
        <v>33656</v>
      </c>
      <c r="S321" s="19">
        <f>IF(2026-S$3&gt;IF($D321="",2026,$D321),IF(S$3=12,0.1*$G321,""),IF(2026-S$4&lt;$C321,"",S$4*$G321))</f>
        <v>40267</v>
      </c>
      <c r="T321" s="19">
        <f>IF(2026-T$3&gt;IF($D321="",2026,$D321),IF(T$3=12,0.1*$G321,""),IF(2026-T$4&lt;$C321,"",T$4*$G321))</f>
        <v>50484</v>
      </c>
    </row>
    <row r="322" spans="1:20" s="18" customFormat="1" ht="12" customHeight="1" x14ac:dyDescent="0.2">
      <c r="A322" s="17"/>
      <c r="B322" s="16" t="s">
        <v>134</v>
      </c>
      <c r="C322" s="13">
        <v>2017</v>
      </c>
      <c r="D322" s="13"/>
      <c r="E322" s="13">
        <v>2997</v>
      </c>
      <c r="F322" s="13">
        <v>340</v>
      </c>
      <c r="G322" s="21">
        <v>62900</v>
      </c>
      <c r="H322" s="20"/>
      <c r="I322" s="19">
        <f>IF(2026-I$3&gt;IF($D322="",2026,$D322),IF(I$3=12,0.1*$G322,""),IF(2026-I$4&lt;$C322,"",I$4*$G322))</f>
        <v>6290</v>
      </c>
      <c r="J322" s="19">
        <f>IF(2026-J$3&gt;IF($D322="",2026,$D322),IF(J$3=12,0.1*$G322,""),IF(2026-J$4&lt;$C322,"",J$4*$G322))</f>
        <v>8177</v>
      </c>
      <c r="K322" s="19">
        <f>IF(2026-K$3&gt;IF($D322="",2026,$D322),IF(K$3=12,0.1*$G322,""),IF(2026-K$4&lt;$C322,"",K$4*$G322))</f>
        <v>10693</v>
      </c>
      <c r="L322" s="19">
        <f>IF(2026-L$3&gt;IF($D322="",2026,$D322),IF(L$3=12,0.1*$G322,""),IF(2026-L$4&lt;$C322,"",L$4*$G322))</f>
        <v>11951</v>
      </c>
      <c r="M322" s="19">
        <f>IF(2026-M$3&gt;IF($D322="",2026,$D322),IF(M$3=12,0.1*$G322,""),IF(2026-M$4&lt;$C322,"",M$4*$G322))</f>
        <v>15096</v>
      </c>
      <c r="N322" s="19">
        <f>IF(2026-N$3&gt;IF($D322="",2026,$D322),IF(N$3=12,0.1*$G322,""),IF(2026-N$4&lt;$C322,"",N$4*$G322))</f>
        <v>17612</v>
      </c>
      <c r="O322" s="19">
        <f>IF(2026-O$3&gt;IF($D322="",2026,$D322),IF(O$3=12,0.1*$G322,""),IF(2026-O$4&lt;$C322,"",O$4*$G322))</f>
        <v>21386</v>
      </c>
      <c r="P322" s="19">
        <f>IF(2026-P$3&gt;IF($D322="",2026,$D322),IF(P$3=12,0.1*$G322,""),IF(2026-P$4&lt;$C322,"",P$4*$G322))</f>
        <v>24531</v>
      </c>
      <c r="Q322" s="19">
        <f>IF(2026-Q$3&gt;IF($D322="",2026,$D322),IF(Q$3=12,0.1*$G322,""),IF(2026-Q$4&lt;$C322,"",Q$4*$G322))</f>
        <v>29563</v>
      </c>
      <c r="R322" s="19">
        <f>IF(2026-R$3&gt;IF($D322="",2026,$D322),IF(R$3=12,0.1*$G322,""),IF(2026-R$4&lt;$C322,"",R$4*$G322))</f>
        <v>35224</v>
      </c>
      <c r="S322" s="19">
        <f>IF(2026-S$3&gt;IF($D322="",2026,$D322),IF(S$3=12,0.1*$G322,""),IF(2026-S$4&lt;$C322,"",S$4*$G322))</f>
        <v>42143</v>
      </c>
      <c r="T322" s="19">
        <f>IF(2026-T$3&gt;IF($D322="",2026,$D322),IF(T$3=12,0.1*$G322,""),IF(2026-T$4&lt;$C322,"",T$4*$G322))</f>
        <v>52836</v>
      </c>
    </row>
    <row r="323" spans="1:20" s="18" customFormat="1" ht="12" customHeight="1" x14ac:dyDescent="0.2">
      <c r="A323" s="17"/>
      <c r="B323" s="16" t="s">
        <v>133</v>
      </c>
      <c r="C323" s="13">
        <v>2017</v>
      </c>
      <c r="D323" s="13"/>
      <c r="E323" s="13">
        <v>2997</v>
      </c>
      <c r="F323" s="13">
        <v>360</v>
      </c>
      <c r="G323" s="21">
        <v>75300</v>
      </c>
      <c r="H323" s="20"/>
      <c r="I323" s="19">
        <f>IF(2026-I$3&gt;IF($D323="",2026,$D323),IF(I$3=12,0.1*$G323,""),IF(2026-I$4&lt;$C323,"",I$4*$G323))</f>
        <v>7530</v>
      </c>
      <c r="J323" s="19">
        <f>IF(2026-J$3&gt;IF($D323="",2026,$D323),IF(J$3=12,0.1*$G323,""),IF(2026-J$4&lt;$C323,"",J$4*$G323))</f>
        <v>9789</v>
      </c>
      <c r="K323" s="19">
        <f>IF(2026-K$3&gt;IF($D323="",2026,$D323),IF(K$3=12,0.1*$G323,""),IF(2026-K$4&lt;$C323,"",K$4*$G323))</f>
        <v>12801.000000000002</v>
      </c>
      <c r="L323" s="19">
        <f>IF(2026-L$3&gt;IF($D323="",2026,$D323),IF(L$3=12,0.1*$G323,""),IF(2026-L$4&lt;$C323,"",L$4*$G323))</f>
        <v>14307</v>
      </c>
      <c r="M323" s="19">
        <f>IF(2026-M$3&gt;IF($D323="",2026,$D323),IF(M$3=12,0.1*$G323,""),IF(2026-M$4&lt;$C323,"",M$4*$G323))</f>
        <v>18072</v>
      </c>
      <c r="N323" s="19">
        <f>IF(2026-N$3&gt;IF($D323="",2026,$D323),IF(N$3=12,0.1*$G323,""),IF(2026-N$4&lt;$C323,"",N$4*$G323))</f>
        <v>21084.000000000004</v>
      </c>
      <c r="O323" s="19">
        <f>IF(2026-O$3&gt;IF($D323="",2026,$D323),IF(O$3=12,0.1*$G323,""),IF(2026-O$4&lt;$C323,"",O$4*$G323))</f>
        <v>25602.000000000004</v>
      </c>
      <c r="P323" s="19">
        <f>IF(2026-P$3&gt;IF($D323="",2026,$D323),IF(P$3=12,0.1*$G323,""),IF(2026-P$4&lt;$C323,"",P$4*$G323))</f>
        <v>29367</v>
      </c>
      <c r="Q323" s="19">
        <f>IF(2026-Q$3&gt;IF($D323="",2026,$D323),IF(Q$3=12,0.1*$G323,""),IF(2026-Q$4&lt;$C323,"",Q$4*$G323))</f>
        <v>35391</v>
      </c>
      <c r="R323" s="19">
        <f>IF(2026-R$3&gt;IF($D323="",2026,$D323),IF(R$3=12,0.1*$G323,""),IF(2026-R$4&lt;$C323,"",R$4*$G323))</f>
        <v>42168.000000000007</v>
      </c>
      <c r="S323" s="19">
        <f>IF(2026-S$3&gt;IF($D323="",2026,$D323),IF(S$3=12,0.1*$G323,""),IF(2026-S$4&lt;$C323,"",S$4*$G323))</f>
        <v>50451</v>
      </c>
      <c r="T323" s="19">
        <f>IF(2026-T$3&gt;IF($D323="",2026,$D323),IF(T$3=12,0.1*$G323,""),IF(2026-T$4&lt;$C323,"",T$4*$G323))</f>
        <v>63252</v>
      </c>
    </row>
    <row r="324" spans="1:20" s="18" customFormat="1" ht="12" customHeight="1" x14ac:dyDescent="0.2">
      <c r="A324" s="17"/>
      <c r="B324" s="16" t="s">
        <v>132</v>
      </c>
      <c r="C324" s="13">
        <v>2017</v>
      </c>
      <c r="D324" s="13"/>
      <c r="E324" s="13">
        <v>3605</v>
      </c>
      <c r="F324" s="13">
        <v>400</v>
      </c>
      <c r="G324" s="21">
        <v>85600</v>
      </c>
      <c r="H324" s="20"/>
      <c r="I324" s="19">
        <f>IF(2026-I$3&gt;IF($D324="",2026,$D324),IF(I$3=12,0.1*$G324,""),IF(2026-I$4&lt;$C324,"",I$4*$G324))</f>
        <v>8560</v>
      </c>
      <c r="J324" s="19">
        <f>IF(2026-J$3&gt;IF($D324="",2026,$D324),IF(J$3=12,0.1*$G324,""),IF(2026-J$4&lt;$C324,"",J$4*$G324))</f>
        <v>11128</v>
      </c>
      <c r="K324" s="19">
        <f>IF(2026-K$3&gt;IF($D324="",2026,$D324),IF(K$3=12,0.1*$G324,""),IF(2026-K$4&lt;$C324,"",K$4*$G324))</f>
        <v>14552.000000000002</v>
      </c>
      <c r="L324" s="19">
        <f>IF(2026-L$3&gt;IF($D324="",2026,$D324),IF(L$3=12,0.1*$G324,""),IF(2026-L$4&lt;$C324,"",L$4*$G324))</f>
        <v>16264</v>
      </c>
      <c r="M324" s="19">
        <f>IF(2026-M$3&gt;IF($D324="",2026,$D324),IF(M$3=12,0.1*$G324,""),IF(2026-M$4&lt;$C324,"",M$4*$G324))</f>
        <v>20544</v>
      </c>
      <c r="N324" s="19">
        <f>IF(2026-N$3&gt;IF($D324="",2026,$D324),IF(N$3=12,0.1*$G324,""),IF(2026-N$4&lt;$C324,"",N$4*$G324))</f>
        <v>23968.000000000004</v>
      </c>
      <c r="O324" s="19">
        <f>IF(2026-O$3&gt;IF($D324="",2026,$D324),IF(O$3=12,0.1*$G324,""),IF(2026-O$4&lt;$C324,"",O$4*$G324))</f>
        <v>29104.000000000004</v>
      </c>
      <c r="P324" s="19">
        <f>IF(2026-P$3&gt;IF($D324="",2026,$D324),IF(P$3=12,0.1*$G324,""),IF(2026-P$4&lt;$C324,"",P$4*$G324))</f>
        <v>33384</v>
      </c>
      <c r="Q324" s="19">
        <f>IF(2026-Q$3&gt;IF($D324="",2026,$D324),IF(Q$3=12,0.1*$G324,""),IF(2026-Q$4&lt;$C324,"",Q$4*$G324))</f>
        <v>40232</v>
      </c>
      <c r="R324" s="19">
        <f>IF(2026-R$3&gt;IF($D324="",2026,$D324),IF(R$3=12,0.1*$G324,""),IF(2026-R$4&lt;$C324,"",R$4*$G324))</f>
        <v>47936.000000000007</v>
      </c>
      <c r="S324" s="19">
        <f>IF(2026-S$3&gt;IF($D324="",2026,$D324),IF(S$3=12,0.1*$G324,""),IF(2026-S$4&lt;$C324,"",S$4*$G324))</f>
        <v>57352</v>
      </c>
      <c r="T324" s="19">
        <f>IF(2026-T$3&gt;IF($D324="",2026,$D324),IF(T$3=12,0.1*$G324,""),IF(2026-T$4&lt;$C324,"",T$4*$G324))</f>
        <v>71904</v>
      </c>
    </row>
    <row r="325" spans="1:20" s="18" customFormat="1" ht="12" customHeight="1" x14ac:dyDescent="0.2">
      <c r="A325" s="17"/>
      <c r="B325" s="16" t="s">
        <v>131</v>
      </c>
      <c r="C325" s="13">
        <v>2017</v>
      </c>
      <c r="D325" s="13"/>
      <c r="E325" s="13">
        <v>3605</v>
      </c>
      <c r="F325" s="13">
        <v>440</v>
      </c>
      <c r="G325" s="21">
        <v>93000</v>
      </c>
      <c r="H325" s="20"/>
      <c r="I325" s="19">
        <f>IF(2026-I$3&gt;IF($D325="",2026,$D325),IF(I$3=12,0.1*$G325,""),IF(2026-I$4&lt;$C325,"",I$4*$G325))</f>
        <v>9300</v>
      </c>
      <c r="J325" s="19">
        <f>IF(2026-J$3&gt;IF($D325="",2026,$D325),IF(J$3=12,0.1*$G325,""),IF(2026-J$4&lt;$C325,"",J$4*$G325))</f>
        <v>12090</v>
      </c>
      <c r="K325" s="19">
        <f>IF(2026-K$3&gt;IF($D325="",2026,$D325),IF(K$3=12,0.1*$G325,""),IF(2026-K$4&lt;$C325,"",K$4*$G325))</f>
        <v>15810.000000000002</v>
      </c>
      <c r="L325" s="19">
        <f>IF(2026-L$3&gt;IF($D325="",2026,$D325),IF(L$3=12,0.1*$G325,""),IF(2026-L$4&lt;$C325,"",L$4*$G325))</f>
        <v>17670</v>
      </c>
      <c r="M325" s="19">
        <f>IF(2026-M$3&gt;IF($D325="",2026,$D325),IF(M$3=12,0.1*$G325,""),IF(2026-M$4&lt;$C325,"",M$4*$G325))</f>
        <v>22320</v>
      </c>
      <c r="N325" s="19">
        <f>IF(2026-N$3&gt;IF($D325="",2026,$D325),IF(N$3=12,0.1*$G325,""),IF(2026-N$4&lt;$C325,"",N$4*$G325))</f>
        <v>26040.000000000004</v>
      </c>
      <c r="O325" s="19">
        <f>IF(2026-O$3&gt;IF($D325="",2026,$D325),IF(O$3=12,0.1*$G325,""),IF(2026-O$4&lt;$C325,"",O$4*$G325))</f>
        <v>31620.000000000004</v>
      </c>
      <c r="P325" s="19">
        <f>IF(2026-P$3&gt;IF($D325="",2026,$D325),IF(P$3=12,0.1*$G325,""),IF(2026-P$4&lt;$C325,"",P$4*$G325))</f>
        <v>36270</v>
      </c>
      <c r="Q325" s="19">
        <f>IF(2026-Q$3&gt;IF($D325="",2026,$D325),IF(Q$3=12,0.1*$G325,""),IF(2026-Q$4&lt;$C325,"",Q$4*$G325))</f>
        <v>43710</v>
      </c>
      <c r="R325" s="19">
        <f>IF(2026-R$3&gt;IF($D325="",2026,$D325),IF(R$3=12,0.1*$G325,""),IF(2026-R$4&lt;$C325,"",R$4*$G325))</f>
        <v>52080.000000000007</v>
      </c>
      <c r="S325" s="19">
        <f>IF(2026-S$3&gt;IF($D325="",2026,$D325),IF(S$3=12,0.1*$G325,""),IF(2026-S$4&lt;$C325,"",S$4*$G325))</f>
        <v>62310.000000000007</v>
      </c>
      <c r="T325" s="19">
        <f>IF(2026-T$3&gt;IF($D325="",2026,$D325),IF(T$3=12,0.1*$G325,""),IF(2026-T$4&lt;$C325,"",T$4*$G325))</f>
        <v>78120</v>
      </c>
    </row>
    <row r="326" spans="1:20" s="18" customFormat="1" ht="12" customHeight="1" x14ac:dyDescent="0.2">
      <c r="A326" s="17"/>
      <c r="B326" s="16" t="s">
        <v>130</v>
      </c>
      <c r="C326" s="13">
        <v>2020</v>
      </c>
      <c r="D326" s="13"/>
      <c r="E326" s="13">
        <v>1984</v>
      </c>
      <c r="F326" s="13">
        <v>245</v>
      </c>
      <c r="G326" s="21">
        <v>61100</v>
      </c>
      <c r="H326" s="20"/>
      <c r="I326" s="19">
        <f>IF(2026-I$3&gt;IF($D326="",2026,$D326),IF(I$3=12,0.1*$G326,""),IF(2026-I$4&lt;$C326,"",I$4*$G326))</f>
        <v>6110</v>
      </c>
      <c r="J326" s="19">
        <f>IF(2026-J$3&gt;IF($D326="",2026,$D326),IF(J$3=12,0.1*$G326,""),IF(2026-J$4&lt;$C326,"",J$4*$G326))</f>
        <v>7943</v>
      </c>
      <c r="K326" s="19">
        <f>IF(2026-K$3&gt;IF($D326="",2026,$D326),IF(K$3=12,0.1*$G326,""),IF(2026-K$4&lt;$C326,"",K$4*$G326))</f>
        <v>10387</v>
      </c>
      <c r="L326" s="19">
        <f>IF(2026-L$3&gt;IF($D326="",2026,$D326),IF(L$3=12,0.1*$G326,""),IF(2026-L$4&lt;$C326,"",L$4*$G326))</f>
        <v>11609</v>
      </c>
      <c r="M326" s="19">
        <f>IF(2026-M$3&gt;IF($D326="",2026,$D326),IF(M$3=12,0.1*$G326,""),IF(2026-M$4&lt;$C326,"",M$4*$G326))</f>
        <v>14664</v>
      </c>
      <c r="N326" s="19">
        <f>IF(2026-N$3&gt;IF($D326="",2026,$D326),IF(N$3=12,0.1*$G326,""),IF(2026-N$4&lt;$C326,"",N$4*$G326))</f>
        <v>17108</v>
      </c>
      <c r="O326" s="19">
        <f>IF(2026-O$3&gt;IF($D326="",2026,$D326),IF(O$3=12,0.1*$G326,""),IF(2026-O$4&lt;$C326,"",O$4*$G326))</f>
        <v>20774</v>
      </c>
      <c r="P326" s="19">
        <f>IF(2026-P$3&gt;IF($D326="",2026,$D326),IF(P$3=12,0.1*$G326,""),IF(2026-P$4&lt;$C326,"",P$4*$G326))</f>
        <v>23829</v>
      </c>
      <c r="Q326" s="19">
        <f>IF(2026-Q$3&gt;IF($D326="",2026,$D326),IF(Q$3=12,0.1*$G326,""),IF(2026-Q$4&lt;$C326,"",Q$4*$G326))</f>
        <v>28717</v>
      </c>
      <c r="R326" s="19">
        <f>IF(2026-R$3&gt;IF($D326="",2026,$D326),IF(R$3=12,0.1*$G326,""),IF(2026-R$4&lt;$C326,"",R$4*$G326))</f>
        <v>34216</v>
      </c>
      <c r="S326" s="19">
        <f>IF(2026-S$3&gt;IF($D326="",2026,$D326),IF(S$3=12,0.1*$G326,""),IF(2026-S$4&lt;$C326,"",S$4*$G326))</f>
        <v>40937</v>
      </c>
      <c r="T326" s="19">
        <f>IF(2026-T$3&gt;IF($D326="",2026,$D326),IF(T$3=12,0.1*$G326,""),IF(2026-T$4&lt;$C326,"",T$4*$G326))</f>
        <v>51324</v>
      </c>
    </row>
    <row r="327" spans="1:20" s="18" customFormat="1" ht="12" customHeight="1" x14ac:dyDescent="0.2">
      <c r="A327" s="17"/>
      <c r="B327" s="16" t="s">
        <v>129</v>
      </c>
      <c r="C327" s="13">
        <v>2020</v>
      </c>
      <c r="D327" s="13"/>
      <c r="E327" s="13">
        <v>2995</v>
      </c>
      <c r="F327" s="13">
        <v>354</v>
      </c>
      <c r="G327" s="21">
        <v>67800</v>
      </c>
      <c r="H327" s="20"/>
      <c r="I327" s="19">
        <f>IF(2026-I$3&gt;IF($D327="",2026,$D327),IF(I$3=12,0.1*$G327,""),IF(2026-I$4&lt;$C327,"",I$4*$G327))</f>
        <v>6780</v>
      </c>
      <c r="J327" s="19">
        <f>IF(2026-J$3&gt;IF($D327="",2026,$D327),IF(J$3=12,0.1*$G327,""),IF(2026-J$4&lt;$C327,"",J$4*$G327))</f>
        <v>8814</v>
      </c>
      <c r="K327" s="19">
        <f>IF(2026-K$3&gt;IF($D327="",2026,$D327),IF(K$3=12,0.1*$G327,""),IF(2026-K$4&lt;$C327,"",K$4*$G327))</f>
        <v>11526</v>
      </c>
      <c r="L327" s="19">
        <f>IF(2026-L$3&gt;IF($D327="",2026,$D327),IF(L$3=12,0.1*$G327,""),IF(2026-L$4&lt;$C327,"",L$4*$G327))</f>
        <v>12882</v>
      </c>
      <c r="M327" s="19">
        <f>IF(2026-M$3&gt;IF($D327="",2026,$D327),IF(M$3=12,0.1*$G327,""),IF(2026-M$4&lt;$C327,"",M$4*$G327))</f>
        <v>16272</v>
      </c>
      <c r="N327" s="19">
        <f>IF(2026-N$3&gt;IF($D327="",2026,$D327),IF(N$3=12,0.1*$G327,""),IF(2026-N$4&lt;$C327,"",N$4*$G327))</f>
        <v>18984</v>
      </c>
      <c r="O327" s="19">
        <f>IF(2026-O$3&gt;IF($D327="",2026,$D327),IF(O$3=12,0.1*$G327,""),IF(2026-O$4&lt;$C327,"",O$4*$G327))</f>
        <v>23052</v>
      </c>
      <c r="P327" s="19">
        <f>IF(2026-P$3&gt;IF($D327="",2026,$D327),IF(P$3=12,0.1*$G327,""),IF(2026-P$4&lt;$C327,"",P$4*$G327))</f>
        <v>26442</v>
      </c>
      <c r="Q327" s="19">
        <f>IF(2026-Q$3&gt;IF($D327="",2026,$D327),IF(Q$3=12,0.1*$G327,""),IF(2026-Q$4&lt;$C327,"",Q$4*$G327))</f>
        <v>31866</v>
      </c>
      <c r="R327" s="19">
        <f>IF(2026-R$3&gt;IF($D327="",2026,$D327),IF(R$3=12,0.1*$G327,""),IF(2026-R$4&lt;$C327,"",R$4*$G327))</f>
        <v>37968</v>
      </c>
      <c r="S327" s="19">
        <f>IF(2026-S$3&gt;IF($D327="",2026,$D327),IF(S$3=12,0.1*$G327,""),IF(2026-S$4&lt;$C327,"",S$4*$G327))</f>
        <v>45426</v>
      </c>
      <c r="T327" s="19">
        <f>IF(2026-T$3&gt;IF($D327="",2026,$D327),IF(T$3=12,0.1*$G327,""),IF(2026-T$4&lt;$C327,"",T$4*$G327))</f>
        <v>56952</v>
      </c>
    </row>
    <row r="328" spans="1:20" s="18" customFormat="1" ht="12" customHeight="1" x14ac:dyDescent="0.2">
      <c r="A328" s="17"/>
      <c r="B328" s="16" t="s">
        <v>128</v>
      </c>
      <c r="C328" s="13">
        <v>2020</v>
      </c>
      <c r="D328" s="13"/>
      <c r="E328" s="13">
        <v>2894</v>
      </c>
      <c r="F328" s="13">
        <v>380</v>
      </c>
      <c r="G328" s="21">
        <v>81900</v>
      </c>
      <c r="H328" s="20"/>
      <c r="I328" s="19">
        <f>IF(2026-I$3&gt;IF($D328="",2026,$D328),IF(I$3=12,0.1*$G328,""),IF(2026-I$4&lt;$C328,"",I$4*$G328))</f>
        <v>8190</v>
      </c>
      <c r="J328" s="19">
        <f>IF(2026-J$3&gt;IF($D328="",2026,$D328),IF(J$3=12,0.1*$G328,""),IF(2026-J$4&lt;$C328,"",J$4*$G328))</f>
        <v>10647</v>
      </c>
      <c r="K328" s="19">
        <f>IF(2026-K$3&gt;IF($D328="",2026,$D328),IF(K$3=12,0.1*$G328,""),IF(2026-K$4&lt;$C328,"",K$4*$G328))</f>
        <v>13923.000000000002</v>
      </c>
      <c r="L328" s="19">
        <f>IF(2026-L$3&gt;IF($D328="",2026,$D328),IF(L$3=12,0.1*$G328,""),IF(2026-L$4&lt;$C328,"",L$4*$G328))</f>
        <v>15561</v>
      </c>
      <c r="M328" s="19">
        <f>IF(2026-M$3&gt;IF($D328="",2026,$D328),IF(M$3=12,0.1*$G328,""),IF(2026-M$4&lt;$C328,"",M$4*$G328))</f>
        <v>19656</v>
      </c>
      <c r="N328" s="19">
        <f>IF(2026-N$3&gt;IF($D328="",2026,$D328),IF(N$3=12,0.1*$G328,""),IF(2026-N$4&lt;$C328,"",N$4*$G328))</f>
        <v>22932.000000000004</v>
      </c>
      <c r="O328" s="19">
        <f>IF(2026-O$3&gt;IF($D328="",2026,$D328),IF(O$3=12,0.1*$G328,""),IF(2026-O$4&lt;$C328,"",O$4*$G328))</f>
        <v>27846.000000000004</v>
      </c>
      <c r="P328" s="19">
        <f>IF(2026-P$3&gt;IF($D328="",2026,$D328),IF(P$3=12,0.1*$G328,""),IF(2026-P$4&lt;$C328,"",P$4*$G328))</f>
        <v>31941</v>
      </c>
      <c r="Q328" s="19">
        <f>IF(2026-Q$3&gt;IF($D328="",2026,$D328),IF(Q$3=12,0.1*$G328,""),IF(2026-Q$4&lt;$C328,"",Q$4*$G328))</f>
        <v>38493</v>
      </c>
      <c r="R328" s="19">
        <f>IF(2026-R$3&gt;IF($D328="",2026,$D328),IF(R$3=12,0.1*$G328,""),IF(2026-R$4&lt;$C328,"",R$4*$G328))</f>
        <v>45864.000000000007</v>
      </c>
      <c r="S328" s="19">
        <f>IF(2026-S$3&gt;IF($D328="",2026,$D328),IF(S$3=12,0.1*$G328,""),IF(2026-S$4&lt;$C328,"",S$4*$G328))</f>
        <v>54873</v>
      </c>
      <c r="T328" s="19">
        <f>IF(2026-T$3&gt;IF($D328="",2026,$D328),IF(T$3=12,0.1*$G328,""),IF(2026-T$4&lt;$C328,"",T$4*$G328))</f>
        <v>68796</v>
      </c>
    </row>
    <row r="329" spans="1:20" s="18" customFormat="1" ht="12" customHeight="1" x14ac:dyDescent="0.2">
      <c r="A329" s="17"/>
      <c r="B329" s="16" t="s">
        <v>127</v>
      </c>
      <c r="C329" s="13">
        <v>2020</v>
      </c>
      <c r="D329" s="13"/>
      <c r="E329" s="13">
        <v>2894</v>
      </c>
      <c r="F329" s="13">
        <v>440</v>
      </c>
      <c r="G329" s="21">
        <v>94800</v>
      </c>
      <c r="H329" s="20"/>
      <c r="I329" s="19">
        <f>IF(2026-I$3&gt;IF($D329="",2026,$D329),IF(I$3=12,0.1*$G329,""),IF(2026-I$4&lt;$C329,"",I$4*$G329))</f>
        <v>9480</v>
      </c>
      <c r="J329" s="19">
        <f>IF(2026-J$3&gt;IF($D329="",2026,$D329),IF(J$3=12,0.1*$G329,""),IF(2026-J$4&lt;$C329,"",J$4*$G329))</f>
        <v>12324</v>
      </c>
      <c r="K329" s="19">
        <f>IF(2026-K$3&gt;IF($D329="",2026,$D329),IF(K$3=12,0.1*$G329,""),IF(2026-K$4&lt;$C329,"",K$4*$G329))</f>
        <v>16116.000000000002</v>
      </c>
      <c r="L329" s="19">
        <f>IF(2026-L$3&gt;IF($D329="",2026,$D329),IF(L$3=12,0.1*$G329,""),IF(2026-L$4&lt;$C329,"",L$4*$G329))</f>
        <v>18012</v>
      </c>
      <c r="M329" s="19">
        <f>IF(2026-M$3&gt;IF($D329="",2026,$D329),IF(M$3=12,0.1*$G329,""),IF(2026-M$4&lt;$C329,"",M$4*$G329))</f>
        <v>22752</v>
      </c>
      <c r="N329" s="19">
        <f>IF(2026-N$3&gt;IF($D329="",2026,$D329),IF(N$3=12,0.1*$G329,""),IF(2026-N$4&lt;$C329,"",N$4*$G329))</f>
        <v>26544.000000000004</v>
      </c>
      <c r="O329" s="19">
        <f>IF(2026-O$3&gt;IF($D329="",2026,$D329),IF(O$3=12,0.1*$G329,""),IF(2026-O$4&lt;$C329,"",O$4*$G329))</f>
        <v>32232.000000000004</v>
      </c>
      <c r="P329" s="19">
        <f>IF(2026-P$3&gt;IF($D329="",2026,$D329),IF(P$3=12,0.1*$G329,""),IF(2026-P$4&lt;$C329,"",P$4*$G329))</f>
        <v>36972</v>
      </c>
      <c r="Q329" s="19">
        <f>IF(2026-Q$3&gt;IF($D329="",2026,$D329),IF(Q$3=12,0.1*$G329,""),IF(2026-Q$4&lt;$C329,"",Q$4*$G329))</f>
        <v>44556</v>
      </c>
      <c r="R329" s="19">
        <f>IF(2026-R$3&gt;IF($D329="",2026,$D329),IF(R$3=12,0.1*$G329,""),IF(2026-R$4&lt;$C329,"",R$4*$G329))</f>
        <v>53088.000000000007</v>
      </c>
      <c r="S329" s="19">
        <f>IF(2026-S$3&gt;IF($D329="",2026,$D329),IF(S$3=12,0.1*$G329,""),IF(2026-S$4&lt;$C329,"",S$4*$G329))</f>
        <v>63516.000000000007</v>
      </c>
      <c r="T329" s="19">
        <f>IF(2026-T$3&gt;IF($D329="",2026,$D329),IF(T$3=12,0.1*$G329,""),IF(2026-T$4&lt;$C329,"",T$4*$G329))</f>
        <v>79632</v>
      </c>
    </row>
    <row r="330" spans="1:20" s="18" customFormat="1" ht="12" customHeight="1" x14ac:dyDescent="0.2">
      <c r="A330" s="17"/>
      <c r="B330" s="16" t="s">
        <v>126</v>
      </c>
      <c r="C330" s="13">
        <v>2021</v>
      </c>
      <c r="D330" s="13"/>
      <c r="E330" s="13">
        <v>2894</v>
      </c>
      <c r="F330" s="13">
        <v>380</v>
      </c>
      <c r="G330" s="21">
        <v>75400</v>
      </c>
      <c r="H330" s="20"/>
      <c r="I330" s="19">
        <f>IF(2026-I$3&gt;IF($D330="",2026,$D330),IF(I$3=12,0.1*$G330,""),IF(2026-I$4&lt;$C330,"",I$4*$G330))</f>
        <v>7540</v>
      </c>
      <c r="J330" s="19">
        <f>IF(2026-J$3&gt;IF($D330="",2026,$D330),IF(J$3=12,0.1*$G330,""),IF(2026-J$4&lt;$C330,"",J$4*$G330))</f>
        <v>9802</v>
      </c>
      <c r="K330" s="19">
        <f>IF(2026-K$3&gt;IF($D330="",2026,$D330),IF(K$3=12,0.1*$G330,""),IF(2026-K$4&lt;$C330,"",K$4*$G330))</f>
        <v>12818.000000000002</v>
      </c>
      <c r="L330" s="19">
        <f>IF(2026-L$3&gt;IF($D330="",2026,$D330),IF(L$3=12,0.1*$G330,""),IF(2026-L$4&lt;$C330,"",L$4*$G330))</f>
        <v>14326</v>
      </c>
      <c r="M330" s="19">
        <f>IF(2026-M$3&gt;IF($D330="",2026,$D330),IF(M$3=12,0.1*$G330,""),IF(2026-M$4&lt;$C330,"",M$4*$G330))</f>
        <v>18096</v>
      </c>
      <c r="N330" s="19">
        <f>IF(2026-N$3&gt;IF($D330="",2026,$D330),IF(N$3=12,0.1*$G330,""),IF(2026-N$4&lt;$C330,"",N$4*$G330))</f>
        <v>21112.000000000004</v>
      </c>
      <c r="O330" s="19">
        <f>IF(2026-O$3&gt;IF($D330="",2026,$D330),IF(O$3=12,0.1*$G330,""),IF(2026-O$4&lt;$C330,"",O$4*$G330))</f>
        <v>25636.000000000004</v>
      </c>
      <c r="P330" s="19">
        <f>IF(2026-P$3&gt;IF($D330="",2026,$D330),IF(P$3=12,0.1*$G330,""),IF(2026-P$4&lt;$C330,"",P$4*$G330))</f>
        <v>29406</v>
      </c>
      <c r="Q330" s="19">
        <f>IF(2026-Q$3&gt;IF($D330="",2026,$D330),IF(Q$3=12,0.1*$G330,""),IF(2026-Q$4&lt;$C330,"",Q$4*$G330))</f>
        <v>35438</v>
      </c>
      <c r="R330" s="19">
        <f>IF(2026-R$3&gt;IF($D330="",2026,$D330),IF(R$3=12,0.1*$G330,""),IF(2026-R$4&lt;$C330,"",R$4*$G330))</f>
        <v>42224.000000000007</v>
      </c>
      <c r="S330" s="19">
        <f>IF(2026-S$3&gt;IF($D330="",2026,$D330),IF(S$3=12,0.1*$G330,""),IF(2026-S$4&lt;$C330,"",S$4*$G330))</f>
        <v>50518</v>
      </c>
      <c r="T330" s="19">
        <f>IF(2026-T$3&gt;IF($D330="",2026,$D330),IF(T$3=12,0.1*$G330,""),IF(2026-T$4&lt;$C330,"",T$4*$G330))</f>
        <v>63336</v>
      </c>
    </row>
    <row r="331" spans="1:20" s="18" customFormat="1" ht="12" customHeight="1" x14ac:dyDescent="0.2">
      <c r="A331" s="17"/>
      <c r="B331" s="16"/>
      <c r="C331" s="13"/>
      <c r="D331" s="13"/>
      <c r="E331" s="13"/>
      <c r="F331" s="13"/>
      <c r="G331" s="21"/>
      <c r="H331" s="20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s="18" customFormat="1" ht="12" customHeight="1" x14ac:dyDescent="0.2">
      <c r="A332" s="17"/>
      <c r="B332" s="16" t="s">
        <v>125</v>
      </c>
      <c r="C332" s="13">
        <v>2009</v>
      </c>
      <c r="D332" s="13">
        <v>2013</v>
      </c>
      <c r="E332" s="13">
        <v>3605</v>
      </c>
      <c r="F332" s="13">
        <v>300</v>
      </c>
      <c r="G332" s="21">
        <v>69000</v>
      </c>
      <c r="H332" s="20"/>
      <c r="I332" s="19">
        <f>IF(2026-I$3&gt;IF($D332="",2026,$D332),IF(I$3=12,0.1*$G332,""),IF(2026-I$4&lt;$C332,"",I$4*$G332))</f>
        <v>6900</v>
      </c>
      <c r="J332" s="19" t="str">
        <f>IF(2026-J$3&gt;IF($D332="",2026,$D332),IF(J$3=12,0.1*$G332,""),IF(2026-J$4&lt;$C332,"",J$4*$G332))</f>
        <v/>
      </c>
      <c r="K332" s="19" t="str">
        <f>IF(2026-K$3&gt;IF($D332="",2026,$D332),IF(K$3=12,0.1*$G332,""),IF(2026-K$4&lt;$C332,"",K$4*$G332))</f>
        <v/>
      </c>
      <c r="L332" s="19" t="str">
        <f>IF(2026-L$3&gt;IF($D332="",2026,$D332),IF(L$3=12,0.1*$G332,""),IF(2026-L$4&lt;$C332,"",L$4*$G332))</f>
        <v/>
      </c>
      <c r="M332" s="19" t="str">
        <f>IF(2026-M$3&gt;IF($D332="",2026,$D332),IF(M$3=12,0.1*$G332,""),IF(2026-M$4&lt;$C332,"",M$4*$G332))</f>
        <v/>
      </c>
      <c r="N332" s="19" t="str">
        <f>IF(2026-N$3&gt;IF($D332="",2026,$D332),IF(N$3=12,0.1*$G332,""),IF(2026-N$4&lt;$C332,"",N$4*$G332))</f>
        <v/>
      </c>
      <c r="O332" s="19" t="str">
        <f>IF(2026-O$3&gt;IF($D332="",2026,$D332),IF(O$3=12,0.1*$G332,""),IF(2026-O$4&lt;$C332,"",O$4*$G332))</f>
        <v/>
      </c>
      <c r="P332" s="19" t="str">
        <f>IF(2026-P$3&gt;IF($D332="",2026,$D332),IF(P$3=12,0.1*$G332,""),IF(2026-P$4&lt;$C332,"",P$4*$G332))</f>
        <v/>
      </c>
      <c r="Q332" s="19" t="str">
        <f>IF(2026-Q$3&gt;IF($D332="",2026,$D332),IF(Q$3=12,0.1*$G332,""),IF(2026-Q$4&lt;$C332,"",Q$4*$G332))</f>
        <v/>
      </c>
      <c r="R332" s="19" t="str">
        <f>IF(2026-R$3&gt;IF($D332="",2026,$D332),IF(R$3=12,0.1*$G332,""),IF(2026-R$4&lt;$C332,"",R$4*$G332))</f>
        <v/>
      </c>
      <c r="S332" s="19" t="str">
        <f>IF(2026-S$3&gt;IF($D332="",2026,$D332),IF(S$3=12,0.1*$G332,""),IF(2026-S$4&lt;$C332,"",S$4*$G332))</f>
        <v/>
      </c>
      <c r="T332" s="19" t="str">
        <f>IF(2026-T$3&gt;IF($D332="",2026,$D332),IF(T$3=12,0.1*$G332,""),IF(2026-T$4&lt;$C332,"",T$4*$G332))</f>
        <v/>
      </c>
    </row>
    <row r="333" spans="1:20" s="18" customFormat="1" ht="12" customHeight="1" x14ac:dyDescent="0.2">
      <c r="A333" s="17"/>
      <c r="B333" s="16" t="s">
        <v>124</v>
      </c>
      <c r="C333" s="13">
        <v>2009</v>
      </c>
      <c r="D333" s="13">
        <v>2013</v>
      </c>
      <c r="E333" s="13">
        <v>3605</v>
      </c>
      <c r="F333" s="13">
        <v>300</v>
      </c>
      <c r="G333" s="21">
        <v>82100</v>
      </c>
      <c r="H333" s="20"/>
      <c r="I333" s="19">
        <f>IF(2026-I$3&gt;IF($D333="",2026,$D333),IF(I$3=12,0.1*$G333,""),IF(2026-I$4&lt;$C333,"",I$4*$G333))</f>
        <v>8210</v>
      </c>
      <c r="J333" s="19" t="str">
        <f>IF(2026-J$3&gt;IF($D333="",2026,$D333),IF(J$3=12,0.1*$G333,""),IF(2026-J$4&lt;$C333,"",J$4*$G333))</f>
        <v/>
      </c>
      <c r="K333" s="19" t="str">
        <f>IF(2026-K$3&gt;IF($D333="",2026,$D333),IF(K$3=12,0.1*$G333,""),IF(2026-K$4&lt;$C333,"",K$4*$G333))</f>
        <v/>
      </c>
      <c r="L333" s="19" t="str">
        <f>IF(2026-L$3&gt;IF($D333="",2026,$D333),IF(L$3=12,0.1*$G333,""),IF(2026-L$4&lt;$C333,"",L$4*$G333))</f>
        <v/>
      </c>
      <c r="M333" s="19" t="str">
        <f>IF(2026-M$3&gt;IF($D333="",2026,$D333),IF(M$3=12,0.1*$G333,""),IF(2026-M$4&lt;$C333,"",M$4*$G333))</f>
        <v/>
      </c>
      <c r="N333" s="19" t="str">
        <f>IF(2026-N$3&gt;IF($D333="",2026,$D333),IF(N$3=12,0.1*$G333,""),IF(2026-N$4&lt;$C333,"",N$4*$G333))</f>
        <v/>
      </c>
      <c r="O333" s="19" t="str">
        <f>IF(2026-O$3&gt;IF($D333="",2026,$D333),IF(O$3=12,0.1*$G333,""),IF(2026-O$4&lt;$C333,"",O$4*$G333))</f>
        <v/>
      </c>
      <c r="P333" s="19" t="str">
        <f>IF(2026-P$3&gt;IF($D333="",2026,$D333),IF(P$3=12,0.1*$G333,""),IF(2026-P$4&lt;$C333,"",P$4*$G333))</f>
        <v/>
      </c>
      <c r="Q333" s="19" t="str">
        <f>IF(2026-Q$3&gt;IF($D333="",2026,$D333),IF(Q$3=12,0.1*$G333,""),IF(2026-Q$4&lt;$C333,"",Q$4*$G333))</f>
        <v/>
      </c>
      <c r="R333" s="19" t="str">
        <f>IF(2026-R$3&gt;IF($D333="",2026,$D333),IF(R$3=12,0.1*$G333,""),IF(2026-R$4&lt;$C333,"",R$4*$G333))</f>
        <v/>
      </c>
      <c r="S333" s="19" t="str">
        <f>IF(2026-S$3&gt;IF($D333="",2026,$D333),IF(S$3=12,0.1*$G333,""),IF(2026-S$4&lt;$C333,"",S$4*$G333))</f>
        <v/>
      </c>
      <c r="T333" s="19" t="str">
        <f>IF(2026-T$3&gt;IF($D333="",2026,$D333),IF(T$3=12,0.1*$G333,""),IF(2026-T$4&lt;$C333,"",T$4*$G333))</f>
        <v/>
      </c>
    </row>
    <row r="334" spans="1:20" s="18" customFormat="1" ht="12" customHeight="1" x14ac:dyDescent="0.2">
      <c r="A334" s="17"/>
      <c r="B334" s="16" t="s">
        <v>123</v>
      </c>
      <c r="C334" s="13">
        <v>2009</v>
      </c>
      <c r="D334" s="13">
        <v>2013</v>
      </c>
      <c r="E334" s="13">
        <v>3605</v>
      </c>
      <c r="F334" s="13">
        <v>300</v>
      </c>
      <c r="G334" s="21">
        <v>75100</v>
      </c>
      <c r="H334" s="20"/>
      <c r="I334" s="19">
        <f>IF(2026-I$3&gt;IF($D334="",2026,$D334),IF(I$3=12,0.1*$G334,""),IF(2026-I$4&lt;$C334,"",I$4*$G334))</f>
        <v>7510</v>
      </c>
      <c r="J334" s="19" t="str">
        <f>IF(2026-J$3&gt;IF($D334="",2026,$D334),IF(J$3=12,0.1*$G334,""),IF(2026-J$4&lt;$C334,"",J$4*$G334))</f>
        <v/>
      </c>
      <c r="K334" s="19" t="str">
        <f>IF(2026-K$3&gt;IF($D334="",2026,$D334),IF(K$3=12,0.1*$G334,""),IF(2026-K$4&lt;$C334,"",K$4*$G334))</f>
        <v/>
      </c>
      <c r="L334" s="19" t="str">
        <f>IF(2026-L$3&gt;IF($D334="",2026,$D334),IF(L$3=12,0.1*$G334,""),IF(2026-L$4&lt;$C334,"",L$4*$G334))</f>
        <v/>
      </c>
      <c r="M334" s="19" t="str">
        <f>IF(2026-M$3&gt;IF($D334="",2026,$D334),IF(M$3=12,0.1*$G334,""),IF(2026-M$4&lt;$C334,"",M$4*$G334))</f>
        <v/>
      </c>
      <c r="N334" s="19" t="str">
        <f>IF(2026-N$3&gt;IF($D334="",2026,$D334),IF(N$3=12,0.1*$G334,""),IF(2026-N$4&lt;$C334,"",N$4*$G334))</f>
        <v/>
      </c>
      <c r="O334" s="19" t="str">
        <f>IF(2026-O$3&gt;IF($D334="",2026,$D334),IF(O$3=12,0.1*$G334,""),IF(2026-O$4&lt;$C334,"",O$4*$G334))</f>
        <v/>
      </c>
      <c r="P334" s="19" t="str">
        <f>IF(2026-P$3&gt;IF($D334="",2026,$D334),IF(P$3=12,0.1*$G334,""),IF(2026-P$4&lt;$C334,"",P$4*$G334))</f>
        <v/>
      </c>
      <c r="Q334" s="19" t="str">
        <f>IF(2026-Q$3&gt;IF($D334="",2026,$D334),IF(Q$3=12,0.1*$G334,""),IF(2026-Q$4&lt;$C334,"",Q$4*$G334))</f>
        <v/>
      </c>
      <c r="R334" s="19" t="str">
        <f>IF(2026-R$3&gt;IF($D334="",2026,$D334),IF(R$3=12,0.1*$G334,""),IF(2026-R$4&lt;$C334,"",R$4*$G334))</f>
        <v/>
      </c>
      <c r="S334" s="19" t="str">
        <f>IF(2026-S$3&gt;IF($D334="",2026,$D334),IF(S$3=12,0.1*$G334,""),IF(2026-S$4&lt;$C334,"",S$4*$G334))</f>
        <v/>
      </c>
      <c r="T334" s="19" t="str">
        <f>IF(2026-T$3&gt;IF($D334="",2026,$D334),IF(T$3=12,0.1*$G334,""),IF(2026-T$4&lt;$C334,"",T$4*$G334))</f>
        <v/>
      </c>
    </row>
    <row r="335" spans="1:20" s="18" customFormat="1" ht="12" customHeight="1" x14ac:dyDescent="0.2">
      <c r="A335" s="17"/>
      <c r="B335" s="16" t="s">
        <v>122</v>
      </c>
      <c r="C335" s="13">
        <v>2009</v>
      </c>
      <c r="D335" s="13">
        <v>2013</v>
      </c>
      <c r="E335" s="13">
        <v>3605</v>
      </c>
      <c r="F335" s="13">
        <v>300</v>
      </c>
      <c r="G335" s="21">
        <v>76200</v>
      </c>
      <c r="H335" s="20"/>
      <c r="I335" s="19">
        <f>IF(2026-I$3&gt;IF($D335="",2026,$D335),IF(I$3=12,0.1*$G335,""),IF(2026-I$4&lt;$C335,"",I$4*$G335))</f>
        <v>7620</v>
      </c>
      <c r="J335" s="19" t="str">
        <f>IF(2026-J$3&gt;IF($D335="",2026,$D335),IF(J$3=12,0.1*$G335,""),IF(2026-J$4&lt;$C335,"",J$4*$G335))</f>
        <v/>
      </c>
      <c r="K335" s="19" t="str">
        <f>IF(2026-K$3&gt;IF($D335="",2026,$D335),IF(K$3=12,0.1*$G335,""),IF(2026-K$4&lt;$C335,"",K$4*$G335))</f>
        <v/>
      </c>
      <c r="L335" s="19" t="str">
        <f>IF(2026-L$3&gt;IF($D335="",2026,$D335),IF(L$3=12,0.1*$G335,""),IF(2026-L$4&lt;$C335,"",L$4*$G335))</f>
        <v/>
      </c>
      <c r="M335" s="19" t="str">
        <f>IF(2026-M$3&gt;IF($D335="",2026,$D335),IF(M$3=12,0.1*$G335,""),IF(2026-M$4&lt;$C335,"",M$4*$G335))</f>
        <v/>
      </c>
      <c r="N335" s="19" t="str">
        <f>IF(2026-N$3&gt;IF($D335="",2026,$D335),IF(N$3=12,0.1*$G335,""),IF(2026-N$4&lt;$C335,"",N$4*$G335))</f>
        <v/>
      </c>
      <c r="O335" s="19" t="str">
        <f>IF(2026-O$3&gt;IF($D335="",2026,$D335),IF(O$3=12,0.1*$G335,""),IF(2026-O$4&lt;$C335,"",O$4*$G335))</f>
        <v/>
      </c>
      <c r="P335" s="19" t="str">
        <f>IF(2026-P$3&gt;IF($D335="",2026,$D335),IF(P$3=12,0.1*$G335,""),IF(2026-P$4&lt;$C335,"",P$4*$G335))</f>
        <v/>
      </c>
      <c r="Q335" s="19" t="str">
        <f>IF(2026-Q$3&gt;IF($D335="",2026,$D335),IF(Q$3=12,0.1*$G335,""),IF(2026-Q$4&lt;$C335,"",Q$4*$G335))</f>
        <v/>
      </c>
      <c r="R335" s="19" t="str">
        <f>IF(2026-R$3&gt;IF($D335="",2026,$D335),IF(R$3=12,0.1*$G335,""),IF(2026-R$4&lt;$C335,"",R$4*$G335))</f>
        <v/>
      </c>
      <c r="S335" s="19" t="str">
        <f>IF(2026-S$3&gt;IF($D335="",2026,$D335),IF(S$3=12,0.1*$G335,""),IF(2026-S$4&lt;$C335,"",S$4*$G335))</f>
        <v/>
      </c>
      <c r="T335" s="19" t="str">
        <f>IF(2026-T$3&gt;IF($D335="",2026,$D335),IF(T$3=12,0.1*$G335,""),IF(2026-T$4&lt;$C335,"",T$4*$G335))</f>
        <v/>
      </c>
    </row>
    <row r="336" spans="1:20" s="18" customFormat="1" ht="12" customHeight="1" x14ac:dyDescent="0.2">
      <c r="A336" s="17"/>
      <c r="B336" s="16" t="s">
        <v>121</v>
      </c>
      <c r="C336" s="13">
        <v>2009</v>
      </c>
      <c r="D336" s="13">
        <v>2013</v>
      </c>
      <c r="E336" s="13">
        <v>4806</v>
      </c>
      <c r="F336" s="13">
        <v>400</v>
      </c>
      <c r="G336" s="21">
        <v>92400</v>
      </c>
      <c r="H336" s="20"/>
      <c r="I336" s="19">
        <f>IF(2026-I$3&gt;IF($D336="",2026,$D336),IF(I$3=12,0.1*$G336,""),IF(2026-I$4&lt;$C336,"",I$4*$G336))</f>
        <v>9240</v>
      </c>
      <c r="J336" s="19" t="str">
        <f>IF(2026-J$3&gt;IF($D336="",2026,$D336),IF(J$3=12,0.1*$G336,""),IF(2026-J$4&lt;$C336,"",J$4*$G336))</f>
        <v/>
      </c>
      <c r="K336" s="19" t="str">
        <f>IF(2026-K$3&gt;IF($D336="",2026,$D336),IF(K$3=12,0.1*$G336,""),IF(2026-K$4&lt;$C336,"",K$4*$G336))</f>
        <v/>
      </c>
      <c r="L336" s="19" t="str">
        <f>IF(2026-L$3&gt;IF($D336="",2026,$D336),IF(L$3=12,0.1*$G336,""),IF(2026-L$4&lt;$C336,"",L$4*$G336))</f>
        <v/>
      </c>
      <c r="M336" s="19" t="str">
        <f>IF(2026-M$3&gt;IF($D336="",2026,$D336),IF(M$3=12,0.1*$G336,""),IF(2026-M$4&lt;$C336,"",M$4*$G336))</f>
        <v/>
      </c>
      <c r="N336" s="19" t="str">
        <f>IF(2026-N$3&gt;IF($D336="",2026,$D336),IF(N$3=12,0.1*$G336,""),IF(2026-N$4&lt;$C336,"",N$4*$G336))</f>
        <v/>
      </c>
      <c r="O336" s="19" t="str">
        <f>IF(2026-O$3&gt;IF($D336="",2026,$D336),IF(O$3=12,0.1*$G336,""),IF(2026-O$4&lt;$C336,"",O$4*$G336))</f>
        <v/>
      </c>
      <c r="P336" s="19" t="str">
        <f>IF(2026-P$3&gt;IF($D336="",2026,$D336),IF(P$3=12,0.1*$G336,""),IF(2026-P$4&lt;$C336,"",P$4*$G336))</f>
        <v/>
      </c>
      <c r="Q336" s="19" t="str">
        <f>IF(2026-Q$3&gt;IF($D336="",2026,$D336),IF(Q$3=12,0.1*$G336,""),IF(2026-Q$4&lt;$C336,"",Q$4*$G336))</f>
        <v/>
      </c>
      <c r="R336" s="19" t="str">
        <f>IF(2026-R$3&gt;IF($D336="",2026,$D336),IF(R$3=12,0.1*$G336,""),IF(2026-R$4&lt;$C336,"",R$4*$G336))</f>
        <v/>
      </c>
      <c r="S336" s="19" t="str">
        <f>IF(2026-S$3&gt;IF($D336="",2026,$D336),IF(S$3=12,0.1*$G336,""),IF(2026-S$4&lt;$C336,"",S$4*$G336))</f>
        <v/>
      </c>
      <c r="T336" s="19" t="str">
        <f>IF(2026-T$3&gt;IF($D336="",2026,$D336),IF(T$3=12,0.1*$G336,""),IF(2026-T$4&lt;$C336,"",T$4*$G336))</f>
        <v/>
      </c>
    </row>
    <row r="337" spans="1:20" s="18" customFormat="1" ht="12" customHeight="1" x14ac:dyDescent="0.2">
      <c r="A337" s="17"/>
      <c r="B337" s="16" t="s">
        <v>120</v>
      </c>
      <c r="C337" s="13">
        <v>2009</v>
      </c>
      <c r="D337" s="13">
        <v>2013</v>
      </c>
      <c r="E337" s="13">
        <v>4806</v>
      </c>
      <c r="F337" s="13">
        <v>400</v>
      </c>
      <c r="G337" s="21">
        <v>85600</v>
      </c>
      <c r="H337" s="20"/>
      <c r="I337" s="19">
        <f>IF(2026-I$3&gt;IF($D337="",2026,$D337),IF(I$3=12,0.1*$G337,""),IF(2026-I$4&lt;$C337,"",I$4*$G337))</f>
        <v>8560</v>
      </c>
      <c r="J337" s="19" t="str">
        <f>IF(2026-J$3&gt;IF($D337="",2026,$D337),IF(J$3=12,0.1*$G337,""),IF(2026-J$4&lt;$C337,"",J$4*$G337))</f>
        <v/>
      </c>
      <c r="K337" s="19" t="str">
        <f>IF(2026-K$3&gt;IF($D337="",2026,$D337),IF(K$3=12,0.1*$G337,""),IF(2026-K$4&lt;$C337,"",K$4*$G337))</f>
        <v/>
      </c>
      <c r="L337" s="19" t="str">
        <f>IF(2026-L$3&gt;IF($D337="",2026,$D337),IF(L$3=12,0.1*$G337,""),IF(2026-L$4&lt;$C337,"",L$4*$G337))</f>
        <v/>
      </c>
      <c r="M337" s="19" t="str">
        <f>IF(2026-M$3&gt;IF($D337="",2026,$D337),IF(M$3=12,0.1*$G337,""),IF(2026-M$4&lt;$C337,"",M$4*$G337))</f>
        <v/>
      </c>
      <c r="N337" s="19" t="str">
        <f>IF(2026-N$3&gt;IF($D337="",2026,$D337),IF(N$3=12,0.1*$G337,""),IF(2026-N$4&lt;$C337,"",N$4*$G337))</f>
        <v/>
      </c>
      <c r="O337" s="19" t="str">
        <f>IF(2026-O$3&gt;IF($D337="",2026,$D337),IF(O$3=12,0.1*$G337,""),IF(2026-O$4&lt;$C337,"",O$4*$G337))</f>
        <v/>
      </c>
      <c r="P337" s="19" t="str">
        <f>IF(2026-P$3&gt;IF($D337="",2026,$D337),IF(P$3=12,0.1*$G337,""),IF(2026-P$4&lt;$C337,"",P$4*$G337))</f>
        <v/>
      </c>
      <c r="Q337" s="19" t="str">
        <f>IF(2026-Q$3&gt;IF($D337="",2026,$D337),IF(Q$3=12,0.1*$G337,""),IF(2026-Q$4&lt;$C337,"",Q$4*$G337))</f>
        <v/>
      </c>
      <c r="R337" s="19" t="str">
        <f>IF(2026-R$3&gt;IF($D337="",2026,$D337),IF(R$3=12,0.1*$G337,""),IF(2026-R$4&lt;$C337,"",R$4*$G337))</f>
        <v/>
      </c>
      <c r="S337" s="19" t="str">
        <f>IF(2026-S$3&gt;IF($D337="",2026,$D337),IF(S$3=12,0.1*$G337,""),IF(2026-S$4&lt;$C337,"",S$4*$G337))</f>
        <v/>
      </c>
      <c r="T337" s="19" t="str">
        <f>IF(2026-T$3&gt;IF($D337="",2026,$D337),IF(T$3=12,0.1*$G337,""),IF(2026-T$4&lt;$C337,"",T$4*$G337))</f>
        <v/>
      </c>
    </row>
    <row r="338" spans="1:20" s="18" customFormat="1" ht="12" customHeight="1" x14ac:dyDescent="0.2">
      <c r="A338" s="17"/>
      <c r="B338" s="16" t="s">
        <v>119</v>
      </c>
      <c r="C338" s="13">
        <v>2009</v>
      </c>
      <c r="D338" s="13">
        <v>2013</v>
      </c>
      <c r="E338" s="13">
        <v>4806</v>
      </c>
      <c r="F338" s="13">
        <v>430</v>
      </c>
      <c r="G338" s="21">
        <v>107000</v>
      </c>
      <c r="H338" s="20"/>
      <c r="I338" s="19">
        <f>IF(2026-I$3&gt;IF($D338="",2026,$D338),IF(I$3=12,0.1*$G338,""),IF(2026-I$4&lt;$C338,"",I$4*$G338))</f>
        <v>10700</v>
      </c>
      <c r="J338" s="19" t="str">
        <f>IF(2026-J$3&gt;IF($D338="",2026,$D338),IF(J$3=12,0.1*$G338,""),IF(2026-J$4&lt;$C338,"",J$4*$G338))</f>
        <v/>
      </c>
      <c r="K338" s="19" t="str">
        <f>IF(2026-K$3&gt;IF($D338="",2026,$D338),IF(K$3=12,0.1*$G338,""),IF(2026-K$4&lt;$C338,"",K$4*$G338))</f>
        <v/>
      </c>
      <c r="L338" s="19" t="str">
        <f>IF(2026-L$3&gt;IF($D338="",2026,$D338),IF(L$3=12,0.1*$G338,""),IF(2026-L$4&lt;$C338,"",L$4*$G338))</f>
        <v/>
      </c>
      <c r="M338" s="19" t="str">
        <f>IF(2026-M$3&gt;IF($D338="",2026,$D338),IF(M$3=12,0.1*$G338,""),IF(2026-M$4&lt;$C338,"",M$4*$G338))</f>
        <v/>
      </c>
      <c r="N338" s="19" t="str">
        <f>IF(2026-N$3&gt;IF($D338="",2026,$D338),IF(N$3=12,0.1*$G338,""),IF(2026-N$4&lt;$C338,"",N$4*$G338))</f>
        <v/>
      </c>
      <c r="O338" s="19" t="str">
        <f>IF(2026-O$3&gt;IF($D338="",2026,$D338),IF(O$3=12,0.1*$G338,""),IF(2026-O$4&lt;$C338,"",O$4*$G338))</f>
        <v/>
      </c>
      <c r="P338" s="19" t="str">
        <f>IF(2026-P$3&gt;IF($D338="",2026,$D338),IF(P$3=12,0.1*$G338,""),IF(2026-P$4&lt;$C338,"",P$4*$G338))</f>
        <v/>
      </c>
      <c r="Q338" s="19" t="str">
        <f>IF(2026-Q$3&gt;IF($D338="",2026,$D338),IF(Q$3=12,0.1*$G338,""),IF(2026-Q$4&lt;$C338,"",Q$4*$G338))</f>
        <v/>
      </c>
      <c r="R338" s="19" t="str">
        <f>IF(2026-R$3&gt;IF($D338="",2026,$D338),IF(R$3=12,0.1*$G338,""),IF(2026-R$4&lt;$C338,"",R$4*$G338))</f>
        <v/>
      </c>
      <c r="S338" s="19" t="str">
        <f>IF(2026-S$3&gt;IF($D338="",2026,$D338),IF(S$3=12,0.1*$G338,""),IF(2026-S$4&lt;$C338,"",S$4*$G338))</f>
        <v/>
      </c>
      <c r="T338" s="19" t="str">
        <f>IF(2026-T$3&gt;IF($D338="",2026,$D338),IF(T$3=12,0.1*$G338,""),IF(2026-T$4&lt;$C338,"",T$4*$G338))</f>
        <v/>
      </c>
    </row>
    <row r="339" spans="1:20" s="18" customFormat="1" ht="12" customHeight="1" x14ac:dyDescent="0.2">
      <c r="A339" s="17"/>
      <c r="B339" s="16" t="s">
        <v>118</v>
      </c>
      <c r="C339" s="13">
        <v>2009</v>
      </c>
      <c r="D339" s="13">
        <v>2013</v>
      </c>
      <c r="E339" s="13">
        <v>4806</v>
      </c>
      <c r="F339" s="13">
        <v>500</v>
      </c>
      <c r="G339" s="21">
        <v>121700</v>
      </c>
      <c r="H339" s="20"/>
      <c r="I339" s="19">
        <f>IF(2026-I$3&gt;IF($D339="",2026,$D339),IF(I$3=12,0.1*$G339,""),IF(2026-I$4&lt;$C339,"",I$4*$G339))</f>
        <v>12170</v>
      </c>
      <c r="J339" s="19" t="str">
        <f>IF(2026-J$3&gt;IF($D339="",2026,$D339),IF(J$3=12,0.1*$G339,""),IF(2026-J$4&lt;$C339,"",J$4*$G339))</f>
        <v/>
      </c>
      <c r="K339" s="19" t="str">
        <f>IF(2026-K$3&gt;IF($D339="",2026,$D339),IF(K$3=12,0.1*$G339,""),IF(2026-K$4&lt;$C339,"",K$4*$G339))</f>
        <v/>
      </c>
      <c r="L339" s="19" t="str">
        <f>IF(2026-L$3&gt;IF($D339="",2026,$D339),IF(L$3=12,0.1*$G339,""),IF(2026-L$4&lt;$C339,"",L$4*$G339))</f>
        <v/>
      </c>
      <c r="M339" s="19" t="str">
        <f>IF(2026-M$3&gt;IF($D339="",2026,$D339),IF(M$3=12,0.1*$G339,""),IF(2026-M$4&lt;$C339,"",M$4*$G339))</f>
        <v/>
      </c>
      <c r="N339" s="19" t="str">
        <f>IF(2026-N$3&gt;IF($D339="",2026,$D339),IF(N$3=12,0.1*$G339,""),IF(2026-N$4&lt;$C339,"",N$4*$G339))</f>
        <v/>
      </c>
      <c r="O339" s="19" t="str">
        <f>IF(2026-O$3&gt;IF($D339="",2026,$D339),IF(O$3=12,0.1*$G339,""),IF(2026-O$4&lt;$C339,"",O$4*$G339))</f>
        <v/>
      </c>
      <c r="P339" s="19" t="str">
        <f>IF(2026-P$3&gt;IF($D339="",2026,$D339),IF(P$3=12,0.1*$G339,""),IF(2026-P$4&lt;$C339,"",P$4*$G339))</f>
        <v/>
      </c>
      <c r="Q339" s="19" t="str">
        <f>IF(2026-Q$3&gt;IF($D339="",2026,$D339),IF(Q$3=12,0.1*$G339,""),IF(2026-Q$4&lt;$C339,"",Q$4*$G339))</f>
        <v/>
      </c>
      <c r="R339" s="19" t="str">
        <f>IF(2026-R$3&gt;IF($D339="",2026,$D339),IF(R$3=12,0.1*$G339,""),IF(2026-R$4&lt;$C339,"",R$4*$G339))</f>
        <v/>
      </c>
      <c r="S339" s="19" t="str">
        <f>IF(2026-S$3&gt;IF($D339="",2026,$D339),IF(S$3=12,0.1*$G339,""),IF(2026-S$4&lt;$C339,"",S$4*$G339))</f>
        <v/>
      </c>
      <c r="T339" s="19" t="str">
        <f>IF(2026-T$3&gt;IF($D339="",2026,$D339),IF(T$3=12,0.1*$G339,""),IF(2026-T$4&lt;$C339,"",T$4*$G339))</f>
        <v/>
      </c>
    </row>
    <row r="340" spans="1:20" s="18" customFormat="1" ht="12" customHeight="1" x14ac:dyDescent="0.2">
      <c r="A340" s="17"/>
      <c r="B340" s="16" t="s">
        <v>117</v>
      </c>
      <c r="C340" s="13">
        <v>2009</v>
      </c>
      <c r="D340" s="13">
        <v>2013</v>
      </c>
      <c r="E340" s="13">
        <v>4806</v>
      </c>
      <c r="F340" s="13">
        <v>550</v>
      </c>
      <c r="G340" s="21">
        <v>152600</v>
      </c>
      <c r="H340" s="20"/>
      <c r="I340" s="19">
        <f>IF(2026-I$3&gt;IF($D340="",2026,$D340),IF(I$3=12,0.1*$G340,""),IF(2026-I$4&lt;$C340,"",I$4*$G340))</f>
        <v>15260</v>
      </c>
      <c r="J340" s="19" t="str">
        <f>IF(2026-J$3&gt;IF($D340="",2026,$D340),IF(J$3=12,0.1*$G340,""),IF(2026-J$4&lt;$C340,"",J$4*$G340))</f>
        <v/>
      </c>
      <c r="K340" s="19" t="str">
        <f>IF(2026-K$3&gt;IF($D340="",2026,$D340),IF(K$3=12,0.1*$G340,""),IF(2026-K$4&lt;$C340,"",K$4*$G340))</f>
        <v/>
      </c>
      <c r="L340" s="19" t="str">
        <f>IF(2026-L$3&gt;IF($D340="",2026,$D340),IF(L$3=12,0.1*$G340,""),IF(2026-L$4&lt;$C340,"",L$4*$G340))</f>
        <v/>
      </c>
      <c r="M340" s="19" t="str">
        <f>IF(2026-M$3&gt;IF($D340="",2026,$D340),IF(M$3=12,0.1*$G340,""),IF(2026-M$4&lt;$C340,"",M$4*$G340))</f>
        <v/>
      </c>
      <c r="N340" s="19" t="str">
        <f>IF(2026-N$3&gt;IF($D340="",2026,$D340),IF(N$3=12,0.1*$G340,""),IF(2026-N$4&lt;$C340,"",N$4*$G340))</f>
        <v/>
      </c>
      <c r="O340" s="19" t="str">
        <f>IF(2026-O$3&gt;IF($D340="",2026,$D340),IF(O$3=12,0.1*$G340,""),IF(2026-O$4&lt;$C340,"",O$4*$G340))</f>
        <v/>
      </c>
      <c r="P340" s="19" t="str">
        <f>IF(2026-P$3&gt;IF($D340="",2026,$D340),IF(P$3=12,0.1*$G340,""),IF(2026-P$4&lt;$C340,"",P$4*$G340))</f>
        <v/>
      </c>
      <c r="Q340" s="19" t="str">
        <f>IF(2026-Q$3&gt;IF($D340="",2026,$D340),IF(Q$3=12,0.1*$G340,""),IF(2026-Q$4&lt;$C340,"",Q$4*$G340))</f>
        <v/>
      </c>
      <c r="R340" s="19" t="str">
        <f>IF(2026-R$3&gt;IF($D340="",2026,$D340),IF(R$3=12,0.1*$G340,""),IF(2026-R$4&lt;$C340,"",R$4*$G340))</f>
        <v/>
      </c>
      <c r="S340" s="19" t="str">
        <f>IF(2026-S$3&gt;IF($D340="",2026,$D340),IF(S$3=12,0.1*$G340,""),IF(2026-S$4&lt;$C340,"",S$4*$G340))</f>
        <v/>
      </c>
      <c r="T340" s="19" t="str">
        <f>IF(2026-T$3&gt;IF($D340="",2026,$D340),IF(T$3=12,0.1*$G340,""),IF(2026-T$4&lt;$C340,"",T$4*$G340))</f>
        <v/>
      </c>
    </row>
    <row r="341" spans="1:20" s="18" customFormat="1" ht="12" customHeight="1" x14ac:dyDescent="0.2">
      <c r="A341" s="17"/>
      <c r="B341" s="16" t="s">
        <v>116</v>
      </c>
      <c r="C341" s="13">
        <v>2011</v>
      </c>
      <c r="D341" s="13">
        <v>2013</v>
      </c>
      <c r="E341" s="13">
        <v>2967</v>
      </c>
      <c r="F341" s="13">
        <v>250</v>
      </c>
      <c r="G341" s="21">
        <v>68900</v>
      </c>
      <c r="H341" s="20"/>
      <c r="I341" s="19">
        <f>IF(2026-I$3&gt;IF($D341="",2026,$D341),IF(I$3=12,0.1*$G341,""),IF(2026-I$4&lt;$C341,"",I$4*$G341))</f>
        <v>6890</v>
      </c>
      <c r="J341" s="19" t="str">
        <f>IF(2026-J$3&gt;IF($D341="",2026,$D341),IF(J$3=12,0.1*$G341,""),IF(2026-J$4&lt;$C341,"",J$4*$G341))</f>
        <v/>
      </c>
      <c r="K341" s="19" t="str">
        <f>IF(2026-K$3&gt;IF($D341="",2026,$D341),IF(K$3=12,0.1*$G341,""),IF(2026-K$4&lt;$C341,"",K$4*$G341))</f>
        <v/>
      </c>
      <c r="L341" s="19" t="str">
        <f>IF(2026-L$3&gt;IF($D341="",2026,$D341),IF(L$3=12,0.1*$G341,""),IF(2026-L$4&lt;$C341,"",L$4*$G341))</f>
        <v/>
      </c>
      <c r="M341" s="19" t="str">
        <f>IF(2026-M$3&gt;IF($D341="",2026,$D341),IF(M$3=12,0.1*$G341,""),IF(2026-M$4&lt;$C341,"",M$4*$G341))</f>
        <v/>
      </c>
      <c r="N341" s="19" t="str">
        <f>IF(2026-N$3&gt;IF($D341="",2026,$D341),IF(N$3=12,0.1*$G341,""),IF(2026-N$4&lt;$C341,"",N$4*$G341))</f>
        <v/>
      </c>
      <c r="O341" s="19" t="str">
        <f>IF(2026-O$3&gt;IF($D341="",2026,$D341),IF(O$3=12,0.1*$G341,""),IF(2026-O$4&lt;$C341,"",O$4*$G341))</f>
        <v/>
      </c>
      <c r="P341" s="19" t="str">
        <f>IF(2026-P$3&gt;IF($D341="",2026,$D341),IF(P$3=12,0.1*$G341,""),IF(2026-P$4&lt;$C341,"",P$4*$G341))</f>
        <v/>
      </c>
      <c r="Q341" s="19" t="str">
        <f>IF(2026-Q$3&gt;IF($D341="",2026,$D341),IF(Q$3=12,0.1*$G341,""),IF(2026-Q$4&lt;$C341,"",Q$4*$G341))</f>
        <v/>
      </c>
      <c r="R341" s="19" t="str">
        <f>IF(2026-R$3&gt;IF($D341="",2026,$D341),IF(R$3=12,0.1*$G341,""),IF(2026-R$4&lt;$C341,"",R$4*$G341))</f>
        <v/>
      </c>
      <c r="S341" s="19" t="str">
        <f>IF(2026-S$3&gt;IF($D341="",2026,$D341),IF(S$3=12,0.1*$G341,""),IF(2026-S$4&lt;$C341,"",S$4*$G341))</f>
        <v/>
      </c>
      <c r="T341" s="19" t="str">
        <f>IF(2026-T$3&gt;IF($D341="",2026,$D341),IF(T$3=12,0.1*$G341,""),IF(2026-T$4&lt;$C341,"",T$4*$G341))</f>
        <v/>
      </c>
    </row>
    <row r="342" spans="1:20" s="18" customFormat="1" ht="12" customHeight="1" x14ac:dyDescent="0.2">
      <c r="A342" s="17"/>
      <c r="B342" s="16" t="s">
        <v>115</v>
      </c>
      <c r="C342" s="13">
        <v>2011</v>
      </c>
      <c r="D342" s="13">
        <v>2013</v>
      </c>
      <c r="E342" s="13">
        <v>2967</v>
      </c>
      <c r="F342" s="13">
        <v>250</v>
      </c>
      <c r="G342" s="21">
        <v>72300</v>
      </c>
      <c r="H342" s="20"/>
      <c r="I342" s="19">
        <f>IF(2026-I$3&gt;IF($D342="",2026,$D342),IF(I$3=12,0.1*$G342,""),IF(2026-I$4&lt;$C342,"",I$4*$G342))</f>
        <v>7230</v>
      </c>
      <c r="J342" s="19" t="str">
        <f>IF(2026-J$3&gt;IF($D342="",2026,$D342),IF(J$3=12,0.1*$G342,""),IF(2026-J$4&lt;$C342,"",J$4*$G342))</f>
        <v/>
      </c>
      <c r="K342" s="19" t="str">
        <f>IF(2026-K$3&gt;IF($D342="",2026,$D342),IF(K$3=12,0.1*$G342,""),IF(2026-K$4&lt;$C342,"",K$4*$G342))</f>
        <v/>
      </c>
      <c r="L342" s="19" t="str">
        <f>IF(2026-L$3&gt;IF($D342="",2026,$D342),IF(L$3=12,0.1*$G342,""),IF(2026-L$4&lt;$C342,"",L$4*$G342))</f>
        <v/>
      </c>
      <c r="M342" s="19" t="str">
        <f>IF(2026-M$3&gt;IF($D342="",2026,$D342),IF(M$3=12,0.1*$G342,""),IF(2026-M$4&lt;$C342,"",M$4*$G342))</f>
        <v/>
      </c>
      <c r="N342" s="19" t="str">
        <f>IF(2026-N$3&gt;IF($D342="",2026,$D342),IF(N$3=12,0.1*$G342,""),IF(2026-N$4&lt;$C342,"",N$4*$G342))</f>
        <v/>
      </c>
      <c r="O342" s="19" t="str">
        <f>IF(2026-O$3&gt;IF($D342="",2026,$D342),IF(O$3=12,0.1*$G342,""),IF(2026-O$4&lt;$C342,"",O$4*$G342))</f>
        <v/>
      </c>
      <c r="P342" s="19" t="str">
        <f>IF(2026-P$3&gt;IF($D342="",2026,$D342),IF(P$3=12,0.1*$G342,""),IF(2026-P$4&lt;$C342,"",P$4*$G342))</f>
        <v/>
      </c>
      <c r="Q342" s="19" t="str">
        <f>IF(2026-Q$3&gt;IF($D342="",2026,$D342),IF(Q$3=12,0.1*$G342,""),IF(2026-Q$4&lt;$C342,"",Q$4*$G342))</f>
        <v/>
      </c>
      <c r="R342" s="19" t="str">
        <f>IF(2026-R$3&gt;IF($D342="",2026,$D342),IF(R$3=12,0.1*$G342,""),IF(2026-R$4&lt;$C342,"",R$4*$G342))</f>
        <v/>
      </c>
      <c r="S342" s="19" t="str">
        <f>IF(2026-S$3&gt;IF($D342="",2026,$D342),IF(S$3=12,0.1*$G342,""),IF(2026-S$4&lt;$C342,"",S$4*$G342))</f>
        <v/>
      </c>
      <c r="T342" s="19" t="str">
        <f>IF(2026-T$3&gt;IF($D342="",2026,$D342),IF(T$3=12,0.1*$G342,""),IF(2026-T$4&lt;$C342,"",T$4*$G342))</f>
        <v/>
      </c>
    </row>
    <row r="343" spans="1:20" s="18" customFormat="1" ht="12" customHeight="1" x14ac:dyDescent="0.2">
      <c r="A343" s="17"/>
      <c r="B343" s="16" t="s">
        <v>114</v>
      </c>
      <c r="C343" s="13">
        <v>2011</v>
      </c>
      <c r="D343" s="13">
        <v>2013</v>
      </c>
      <c r="E343" s="13">
        <v>2995</v>
      </c>
      <c r="F343" s="13">
        <v>380</v>
      </c>
      <c r="G343" s="21">
        <v>94400</v>
      </c>
      <c r="H343" s="20"/>
      <c r="I343" s="19">
        <f>IF(2026-I$3&gt;IF($D343="",2026,$D343),IF(I$3=12,0.1*$G343,""),IF(2026-I$4&lt;$C343,"",I$4*$G343))</f>
        <v>9440</v>
      </c>
      <c r="J343" s="19" t="str">
        <f>IF(2026-J$3&gt;IF($D343="",2026,$D343),IF(J$3=12,0.1*$G343,""),IF(2026-J$4&lt;$C343,"",J$4*$G343))</f>
        <v/>
      </c>
      <c r="K343" s="19" t="str">
        <f>IF(2026-K$3&gt;IF($D343="",2026,$D343),IF(K$3=12,0.1*$G343,""),IF(2026-K$4&lt;$C343,"",K$4*$G343))</f>
        <v/>
      </c>
      <c r="L343" s="19" t="str">
        <f>IF(2026-L$3&gt;IF($D343="",2026,$D343),IF(L$3=12,0.1*$G343,""),IF(2026-L$4&lt;$C343,"",L$4*$G343))</f>
        <v/>
      </c>
      <c r="M343" s="19" t="str">
        <f>IF(2026-M$3&gt;IF($D343="",2026,$D343),IF(M$3=12,0.1*$G343,""),IF(2026-M$4&lt;$C343,"",M$4*$G343))</f>
        <v/>
      </c>
      <c r="N343" s="19" t="str">
        <f>IF(2026-N$3&gt;IF($D343="",2026,$D343),IF(N$3=12,0.1*$G343,""),IF(2026-N$4&lt;$C343,"",N$4*$G343))</f>
        <v/>
      </c>
      <c r="O343" s="19" t="str">
        <f>IF(2026-O$3&gt;IF($D343="",2026,$D343),IF(O$3=12,0.1*$G343,""),IF(2026-O$4&lt;$C343,"",O$4*$G343))</f>
        <v/>
      </c>
      <c r="P343" s="19" t="str">
        <f>IF(2026-P$3&gt;IF($D343="",2026,$D343),IF(P$3=12,0.1*$G343,""),IF(2026-P$4&lt;$C343,"",P$4*$G343))</f>
        <v/>
      </c>
      <c r="Q343" s="19" t="str">
        <f>IF(2026-Q$3&gt;IF($D343="",2026,$D343),IF(Q$3=12,0.1*$G343,""),IF(2026-Q$4&lt;$C343,"",Q$4*$G343))</f>
        <v/>
      </c>
      <c r="R343" s="19" t="str">
        <f>IF(2026-R$3&gt;IF($D343="",2026,$D343),IF(R$3=12,0.1*$G343,""),IF(2026-R$4&lt;$C343,"",R$4*$G343))</f>
        <v/>
      </c>
      <c r="S343" s="19" t="str">
        <f>IF(2026-S$3&gt;IF($D343="",2026,$D343),IF(S$3=12,0.1*$G343,""),IF(2026-S$4&lt;$C343,"",S$4*$G343))</f>
        <v/>
      </c>
      <c r="T343" s="19" t="str">
        <f>IF(2026-T$3&gt;IF($D343="",2026,$D343),IF(T$3=12,0.1*$G343,""),IF(2026-T$4&lt;$C343,"",T$4*$G343))</f>
        <v/>
      </c>
    </row>
    <row r="344" spans="1:20" s="18" customFormat="1" ht="12" customHeight="1" x14ac:dyDescent="0.2">
      <c r="A344" s="17"/>
      <c r="B344" s="16" t="s">
        <v>113</v>
      </c>
      <c r="C344" s="13">
        <v>2011</v>
      </c>
      <c r="D344" s="13">
        <v>2013</v>
      </c>
      <c r="E344" s="13">
        <v>2995</v>
      </c>
      <c r="F344" s="13">
        <v>380</v>
      </c>
      <c r="G344" s="21">
        <v>92000</v>
      </c>
      <c r="H344" s="20"/>
      <c r="I344" s="19">
        <f>IF(2026-I$3&gt;IF($D344="",2026,$D344),IF(I$3=12,0.1*$G344,""),IF(2026-I$4&lt;$C344,"",I$4*$G344))</f>
        <v>9200</v>
      </c>
      <c r="J344" s="19" t="str">
        <f>IF(2026-J$3&gt;IF($D344="",2026,$D344),IF(J$3=12,0.1*$G344,""),IF(2026-J$4&lt;$C344,"",J$4*$G344))</f>
        <v/>
      </c>
      <c r="K344" s="19" t="str">
        <f>IF(2026-K$3&gt;IF($D344="",2026,$D344),IF(K$3=12,0.1*$G344,""),IF(2026-K$4&lt;$C344,"",K$4*$G344))</f>
        <v/>
      </c>
      <c r="L344" s="19" t="str">
        <f>IF(2026-L$3&gt;IF($D344="",2026,$D344),IF(L$3=12,0.1*$G344,""),IF(2026-L$4&lt;$C344,"",L$4*$G344))</f>
        <v/>
      </c>
      <c r="M344" s="19" t="str">
        <f>IF(2026-M$3&gt;IF($D344="",2026,$D344),IF(M$3=12,0.1*$G344,""),IF(2026-M$4&lt;$C344,"",M$4*$G344))</f>
        <v/>
      </c>
      <c r="N344" s="19" t="str">
        <f>IF(2026-N$3&gt;IF($D344="",2026,$D344),IF(N$3=12,0.1*$G344,""),IF(2026-N$4&lt;$C344,"",N$4*$G344))</f>
        <v/>
      </c>
      <c r="O344" s="19" t="str">
        <f>IF(2026-O$3&gt;IF($D344="",2026,$D344),IF(O$3=12,0.1*$G344,""),IF(2026-O$4&lt;$C344,"",O$4*$G344))</f>
        <v/>
      </c>
      <c r="P344" s="19" t="str">
        <f>IF(2026-P$3&gt;IF($D344="",2026,$D344),IF(P$3=12,0.1*$G344,""),IF(2026-P$4&lt;$C344,"",P$4*$G344))</f>
        <v/>
      </c>
      <c r="Q344" s="19" t="str">
        <f>IF(2026-Q$3&gt;IF($D344="",2026,$D344),IF(Q$3=12,0.1*$G344,""),IF(2026-Q$4&lt;$C344,"",Q$4*$G344))</f>
        <v/>
      </c>
      <c r="R344" s="19" t="str">
        <f>IF(2026-R$3&gt;IF($D344="",2026,$D344),IF(R$3=12,0.1*$G344,""),IF(2026-R$4&lt;$C344,"",R$4*$G344))</f>
        <v/>
      </c>
      <c r="S344" s="19" t="str">
        <f>IF(2026-S$3&gt;IF($D344="",2026,$D344),IF(S$3=12,0.1*$G344,""),IF(2026-S$4&lt;$C344,"",S$4*$G344))</f>
        <v/>
      </c>
      <c r="T344" s="19" t="str">
        <f>IF(2026-T$3&gt;IF($D344="",2026,$D344),IF(T$3=12,0.1*$G344,""),IF(2026-T$4&lt;$C344,"",T$4*$G344))</f>
        <v/>
      </c>
    </row>
    <row r="345" spans="1:20" s="18" customFormat="1" ht="12" customHeight="1" x14ac:dyDescent="0.2">
      <c r="A345" s="17"/>
      <c r="B345" s="16" t="s">
        <v>111</v>
      </c>
      <c r="C345" s="13">
        <v>2013</v>
      </c>
      <c r="D345" s="13">
        <v>2016</v>
      </c>
      <c r="E345" s="13">
        <v>2967</v>
      </c>
      <c r="F345" s="13">
        <v>250</v>
      </c>
      <c r="G345" s="21">
        <v>72300</v>
      </c>
      <c r="H345" s="20"/>
      <c r="I345" s="19">
        <f>IF(2026-I$3&gt;IF($D345="",2026,$D345),IF(I$3=12,0.1*$G345,""),IF(2026-I$4&lt;$C345,"",I$4*$G345))</f>
        <v>7230</v>
      </c>
      <c r="J345" s="19">
        <f>IF(2026-J$3&gt;IF($D345="",2026,$D345),IF(J$3=12,0.1*$G345,""),IF(2026-J$4&lt;$C345,"",J$4*$G345))</f>
        <v>9399</v>
      </c>
      <c r="K345" s="19">
        <f>IF(2026-K$3&gt;IF($D345="",2026,$D345),IF(K$3=12,0.1*$G345,""),IF(2026-K$4&lt;$C345,"",K$4*$G345))</f>
        <v>12291</v>
      </c>
      <c r="L345" s="19" t="str">
        <f>IF(2026-L$3&gt;IF($D345="",2026,$D345),IF(L$3=12,0.1*$G345,""),IF(2026-L$4&lt;$C345,"",L$4*$G345))</f>
        <v/>
      </c>
      <c r="M345" s="19" t="str">
        <f>IF(2026-M$3&gt;IF($D345="",2026,$D345),IF(M$3=12,0.1*$G345,""),IF(2026-M$4&lt;$C345,"",M$4*$G345))</f>
        <v/>
      </c>
      <c r="N345" s="19" t="str">
        <f>IF(2026-N$3&gt;IF($D345="",2026,$D345),IF(N$3=12,0.1*$G345,""),IF(2026-N$4&lt;$C345,"",N$4*$G345))</f>
        <v/>
      </c>
      <c r="O345" s="19" t="str">
        <f>IF(2026-O$3&gt;IF($D345="",2026,$D345),IF(O$3=12,0.1*$G345,""),IF(2026-O$4&lt;$C345,"",O$4*$G345))</f>
        <v/>
      </c>
      <c r="P345" s="19" t="str">
        <f>IF(2026-P$3&gt;IF($D345="",2026,$D345),IF(P$3=12,0.1*$G345,""),IF(2026-P$4&lt;$C345,"",P$4*$G345))</f>
        <v/>
      </c>
      <c r="Q345" s="19" t="str">
        <f>IF(2026-Q$3&gt;IF($D345="",2026,$D345),IF(Q$3=12,0.1*$G345,""),IF(2026-Q$4&lt;$C345,"",Q$4*$G345))</f>
        <v/>
      </c>
      <c r="R345" s="19" t="str">
        <f>IF(2026-R$3&gt;IF($D345="",2026,$D345),IF(R$3=12,0.1*$G345,""),IF(2026-R$4&lt;$C345,"",R$4*$G345))</f>
        <v/>
      </c>
      <c r="S345" s="19" t="str">
        <f>IF(2026-S$3&gt;IF($D345="",2026,$D345),IF(S$3=12,0.1*$G345,""),IF(2026-S$4&lt;$C345,"",S$4*$G345))</f>
        <v/>
      </c>
      <c r="T345" s="19" t="str">
        <f>IF(2026-T$3&gt;IF($D345="",2026,$D345),IF(T$3=12,0.1*$G345,""),IF(2026-T$4&lt;$C345,"",T$4*$G345))</f>
        <v/>
      </c>
    </row>
    <row r="346" spans="1:20" s="18" customFormat="1" ht="12" customHeight="1" x14ac:dyDescent="0.2">
      <c r="A346" s="17"/>
      <c r="B346" s="16" t="s">
        <v>112</v>
      </c>
      <c r="C346" s="13">
        <v>2013</v>
      </c>
      <c r="D346" s="13">
        <v>2016</v>
      </c>
      <c r="E346" s="13">
        <v>2967</v>
      </c>
      <c r="F346" s="13">
        <v>300</v>
      </c>
      <c r="G346" s="21">
        <v>77800</v>
      </c>
      <c r="H346" s="20"/>
      <c r="I346" s="19">
        <f>IF(2026-I$3&gt;IF($D346="",2026,$D346),IF(I$3=12,0.1*$G346,""),IF(2026-I$4&lt;$C346,"",I$4*$G346))</f>
        <v>7780</v>
      </c>
      <c r="J346" s="19">
        <f>IF(2026-J$3&gt;IF($D346="",2026,$D346),IF(J$3=12,0.1*$G346,""),IF(2026-J$4&lt;$C346,"",J$4*$G346))</f>
        <v>10114</v>
      </c>
      <c r="K346" s="19">
        <f>IF(2026-K$3&gt;IF($D346="",2026,$D346),IF(K$3=12,0.1*$G346,""),IF(2026-K$4&lt;$C346,"",K$4*$G346))</f>
        <v>13226.000000000002</v>
      </c>
      <c r="L346" s="19" t="str">
        <f>IF(2026-L$3&gt;IF($D346="",2026,$D346),IF(L$3=12,0.1*$G346,""),IF(2026-L$4&lt;$C346,"",L$4*$G346))</f>
        <v/>
      </c>
      <c r="M346" s="19" t="str">
        <f>IF(2026-M$3&gt;IF($D346="",2026,$D346),IF(M$3=12,0.1*$G346,""),IF(2026-M$4&lt;$C346,"",M$4*$G346))</f>
        <v/>
      </c>
      <c r="N346" s="19" t="str">
        <f>IF(2026-N$3&gt;IF($D346="",2026,$D346),IF(N$3=12,0.1*$G346,""),IF(2026-N$4&lt;$C346,"",N$4*$G346))</f>
        <v/>
      </c>
      <c r="O346" s="19" t="str">
        <f>IF(2026-O$3&gt;IF($D346="",2026,$D346),IF(O$3=12,0.1*$G346,""),IF(2026-O$4&lt;$C346,"",O$4*$G346))</f>
        <v/>
      </c>
      <c r="P346" s="19" t="str">
        <f>IF(2026-P$3&gt;IF($D346="",2026,$D346),IF(P$3=12,0.1*$G346,""),IF(2026-P$4&lt;$C346,"",P$4*$G346))</f>
        <v/>
      </c>
      <c r="Q346" s="19" t="str">
        <f>IF(2026-Q$3&gt;IF($D346="",2026,$D346),IF(Q$3=12,0.1*$G346,""),IF(2026-Q$4&lt;$C346,"",Q$4*$G346))</f>
        <v/>
      </c>
      <c r="R346" s="19" t="str">
        <f>IF(2026-R$3&gt;IF($D346="",2026,$D346),IF(R$3=12,0.1*$G346,""),IF(2026-R$4&lt;$C346,"",R$4*$G346))</f>
        <v/>
      </c>
      <c r="S346" s="19" t="str">
        <f>IF(2026-S$3&gt;IF($D346="",2026,$D346),IF(S$3=12,0.1*$G346,""),IF(2026-S$4&lt;$C346,"",S$4*$G346))</f>
        <v/>
      </c>
      <c r="T346" s="19" t="str">
        <f>IF(2026-T$3&gt;IF($D346="",2026,$D346),IF(T$3=12,0.1*$G346,""),IF(2026-T$4&lt;$C346,"",T$4*$G346))</f>
        <v/>
      </c>
    </row>
    <row r="347" spans="1:20" s="18" customFormat="1" ht="12" customHeight="1" x14ac:dyDescent="0.2">
      <c r="A347" s="17"/>
      <c r="B347" s="16" t="s">
        <v>111</v>
      </c>
      <c r="C347" s="13">
        <v>2013</v>
      </c>
      <c r="D347" s="13">
        <v>2016</v>
      </c>
      <c r="E347" s="13">
        <v>2967</v>
      </c>
      <c r="F347" s="13">
        <v>300</v>
      </c>
      <c r="G347" s="21">
        <v>75300</v>
      </c>
      <c r="H347" s="20"/>
      <c r="I347" s="19">
        <f>IF(2026-I$3&gt;IF($D347="",2026,$D347),IF(I$3=12,0.1*$G347,""),IF(2026-I$4&lt;$C347,"",I$4*$G347))</f>
        <v>7530</v>
      </c>
      <c r="J347" s="19">
        <f>IF(2026-J$3&gt;IF($D347="",2026,$D347),IF(J$3=12,0.1*$G347,""),IF(2026-J$4&lt;$C347,"",J$4*$G347))</f>
        <v>9789</v>
      </c>
      <c r="K347" s="19">
        <f>IF(2026-K$3&gt;IF($D347="",2026,$D347),IF(K$3=12,0.1*$G347,""),IF(2026-K$4&lt;$C347,"",K$4*$G347))</f>
        <v>12801.000000000002</v>
      </c>
      <c r="L347" s="19" t="str">
        <f>IF(2026-L$3&gt;IF($D347="",2026,$D347),IF(L$3=12,0.1*$G347,""),IF(2026-L$4&lt;$C347,"",L$4*$G347))</f>
        <v/>
      </c>
      <c r="M347" s="19" t="str">
        <f>IF(2026-M$3&gt;IF($D347="",2026,$D347),IF(M$3=12,0.1*$G347,""),IF(2026-M$4&lt;$C347,"",M$4*$G347))</f>
        <v/>
      </c>
      <c r="N347" s="19" t="str">
        <f>IF(2026-N$3&gt;IF($D347="",2026,$D347),IF(N$3=12,0.1*$G347,""),IF(2026-N$4&lt;$C347,"",N$4*$G347))</f>
        <v/>
      </c>
      <c r="O347" s="19" t="str">
        <f>IF(2026-O$3&gt;IF($D347="",2026,$D347),IF(O$3=12,0.1*$G347,""),IF(2026-O$4&lt;$C347,"",O$4*$G347))</f>
        <v/>
      </c>
      <c r="P347" s="19" t="str">
        <f>IF(2026-P$3&gt;IF($D347="",2026,$D347),IF(P$3=12,0.1*$G347,""),IF(2026-P$4&lt;$C347,"",P$4*$G347))</f>
        <v/>
      </c>
      <c r="Q347" s="19" t="str">
        <f>IF(2026-Q$3&gt;IF($D347="",2026,$D347),IF(Q$3=12,0.1*$G347,""),IF(2026-Q$4&lt;$C347,"",Q$4*$G347))</f>
        <v/>
      </c>
      <c r="R347" s="19" t="str">
        <f>IF(2026-R$3&gt;IF($D347="",2026,$D347),IF(R$3=12,0.1*$G347,""),IF(2026-R$4&lt;$C347,"",R$4*$G347))</f>
        <v/>
      </c>
      <c r="S347" s="19" t="str">
        <f>IF(2026-S$3&gt;IF($D347="",2026,$D347),IF(S$3=12,0.1*$G347,""),IF(2026-S$4&lt;$C347,"",S$4*$G347))</f>
        <v/>
      </c>
      <c r="T347" s="19" t="str">
        <f>IF(2026-T$3&gt;IF($D347="",2026,$D347),IF(T$3=12,0.1*$G347,""),IF(2026-T$4&lt;$C347,"",T$4*$G347))</f>
        <v/>
      </c>
    </row>
    <row r="348" spans="1:20" s="18" customFormat="1" ht="12" customHeight="1" x14ac:dyDescent="0.2">
      <c r="A348" s="17"/>
      <c r="B348" s="16" t="s">
        <v>110</v>
      </c>
      <c r="C348" s="13">
        <v>2013</v>
      </c>
      <c r="D348" s="13">
        <v>2016</v>
      </c>
      <c r="E348" s="13">
        <v>3605</v>
      </c>
      <c r="F348" s="13">
        <v>310</v>
      </c>
      <c r="G348" s="21">
        <v>84200</v>
      </c>
      <c r="H348" s="20"/>
      <c r="I348" s="19">
        <f>IF(2026-I$3&gt;IF($D348="",2026,$D348),IF(I$3=12,0.1*$G348,""),IF(2026-I$4&lt;$C348,"",I$4*$G348))</f>
        <v>8420</v>
      </c>
      <c r="J348" s="19">
        <f>IF(2026-J$3&gt;IF($D348="",2026,$D348),IF(J$3=12,0.1*$G348,""),IF(2026-J$4&lt;$C348,"",J$4*$G348))</f>
        <v>10946</v>
      </c>
      <c r="K348" s="19">
        <f>IF(2026-K$3&gt;IF($D348="",2026,$D348),IF(K$3=12,0.1*$G348,""),IF(2026-K$4&lt;$C348,"",K$4*$G348))</f>
        <v>14314.000000000002</v>
      </c>
      <c r="L348" s="19" t="str">
        <f>IF(2026-L$3&gt;IF($D348="",2026,$D348),IF(L$3=12,0.1*$G348,""),IF(2026-L$4&lt;$C348,"",L$4*$G348))</f>
        <v/>
      </c>
      <c r="M348" s="19" t="str">
        <f>IF(2026-M$3&gt;IF($D348="",2026,$D348),IF(M$3=12,0.1*$G348,""),IF(2026-M$4&lt;$C348,"",M$4*$G348))</f>
        <v/>
      </c>
      <c r="N348" s="19" t="str">
        <f>IF(2026-N$3&gt;IF($D348="",2026,$D348),IF(N$3=12,0.1*$G348,""),IF(2026-N$4&lt;$C348,"",N$4*$G348))</f>
        <v/>
      </c>
      <c r="O348" s="19" t="str">
        <f>IF(2026-O$3&gt;IF($D348="",2026,$D348),IF(O$3=12,0.1*$G348,""),IF(2026-O$4&lt;$C348,"",O$4*$G348))</f>
        <v/>
      </c>
      <c r="P348" s="19" t="str">
        <f>IF(2026-P$3&gt;IF($D348="",2026,$D348),IF(P$3=12,0.1*$G348,""),IF(2026-P$4&lt;$C348,"",P$4*$G348))</f>
        <v/>
      </c>
      <c r="Q348" s="19" t="str">
        <f>IF(2026-Q$3&gt;IF($D348="",2026,$D348),IF(Q$3=12,0.1*$G348,""),IF(2026-Q$4&lt;$C348,"",Q$4*$G348))</f>
        <v/>
      </c>
      <c r="R348" s="19" t="str">
        <f>IF(2026-R$3&gt;IF($D348="",2026,$D348),IF(R$3=12,0.1*$G348,""),IF(2026-R$4&lt;$C348,"",R$4*$G348))</f>
        <v/>
      </c>
      <c r="S348" s="19" t="str">
        <f>IF(2026-S$3&gt;IF($D348="",2026,$D348),IF(S$3=12,0.1*$G348,""),IF(2026-S$4&lt;$C348,"",S$4*$G348))</f>
        <v/>
      </c>
      <c r="T348" s="19" t="str">
        <f>IF(2026-T$3&gt;IF($D348="",2026,$D348),IF(T$3=12,0.1*$G348,""),IF(2026-T$4&lt;$C348,"",T$4*$G348))</f>
        <v/>
      </c>
    </row>
    <row r="349" spans="1:20" s="18" customFormat="1" ht="12" customHeight="1" x14ac:dyDescent="0.2">
      <c r="A349" s="17"/>
      <c r="B349" s="16" t="s">
        <v>109</v>
      </c>
      <c r="C349" s="13">
        <v>2013</v>
      </c>
      <c r="D349" s="13">
        <v>2016</v>
      </c>
      <c r="E349" s="13">
        <v>3605</v>
      </c>
      <c r="F349" s="13">
        <v>310</v>
      </c>
      <c r="G349" s="21">
        <v>79300</v>
      </c>
      <c r="H349" s="20"/>
      <c r="I349" s="19">
        <f>IF(2026-I$3&gt;IF($D349="",2026,$D349),IF(I$3=12,0.1*$G349,""),IF(2026-I$4&lt;$C349,"",I$4*$G349))</f>
        <v>7930</v>
      </c>
      <c r="J349" s="19">
        <f>IF(2026-J$3&gt;IF($D349="",2026,$D349),IF(J$3=12,0.1*$G349,""),IF(2026-J$4&lt;$C349,"",J$4*$G349))</f>
        <v>10309</v>
      </c>
      <c r="K349" s="19">
        <f>IF(2026-K$3&gt;IF($D349="",2026,$D349),IF(K$3=12,0.1*$G349,""),IF(2026-K$4&lt;$C349,"",K$4*$G349))</f>
        <v>13481.000000000002</v>
      </c>
      <c r="L349" s="19" t="str">
        <f>IF(2026-L$3&gt;IF($D349="",2026,$D349),IF(L$3=12,0.1*$G349,""),IF(2026-L$4&lt;$C349,"",L$4*$G349))</f>
        <v/>
      </c>
      <c r="M349" s="19" t="str">
        <f>IF(2026-M$3&gt;IF($D349="",2026,$D349),IF(M$3=12,0.1*$G349,""),IF(2026-M$4&lt;$C349,"",M$4*$G349))</f>
        <v/>
      </c>
      <c r="N349" s="19" t="str">
        <f>IF(2026-N$3&gt;IF($D349="",2026,$D349),IF(N$3=12,0.1*$G349,""),IF(2026-N$4&lt;$C349,"",N$4*$G349))</f>
        <v/>
      </c>
      <c r="O349" s="19" t="str">
        <f>IF(2026-O$3&gt;IF($D349="",2026,$D349),IF(O$3=12,0.1*$G349,""),IF(2026-O$4&lt;$C349,"",O$4*$G349))</f>
        <v/>
      </c>
      <c r="P349" s="19" t="str">
        <f>IF(2026-P$3&gt;IF($D349="",2026,$D349),IF(P$3=12,0.1*$G349,""),IF(2026-P$4&lt;$C349,"",P$4*$G349))</f>
        <v/>
      </c>
      <c r="Q349" s="19" t="str">
        <f>IF(2026-Q$3&gt;IF($D349="",2026,$D349),IF(Q$3=12,0.1*$G349,""),IF(2026-Q$4&lt;$C349,"",Q$4*$G349))</f>
        <v/>
      </c>
      <c r="R349" s="19" t="str">
        <f>IF(2026-R$3&gt;IF($D349="",2026,$D349),IF(R$3=12,0.1*$G349,""),IF(2026-R$4&lt;$C349,"",R$4*$G349))</f>
        <v/>
      </c>
      <c r="S349" s="19" t="str">
        <f>IF(2026-S$3&gt;IF($D349="",2026,$D349),IF(S$3=12,0.1*$G349,""),IF(2026-S$4&lt;$C349,"",S$4*$G349))</f>
        <v/>
      </c>
      <c r="T349" s="19" t="str">
        <f>IF(2026-T$3&gt;IF($D349="",2026,$D349),IF(T$3=12,0.1*$G349,""),IF(2026-T$4&lt;$C349,"",T$4*$G349))</f>
        <v/>
      </c>
    </row>
    <row r="350" spans="1:20" s="18" customFormat="1" ht="12" customHeight="1" x14ac:dyDescent="0.2">
      <c r="A350" s="17"/>
      <c r="B350" s="16" t="s">
        <v>108</v>
      </c>
      <c r="C350" s="13">
        <v>2013</v>
      </c>
      <c r="D350" s="13">
        <v>2016</v>
      </c>
      <c r="E350" s="13">
        <v>3605</v>
      </c>
      <c r="F350" s="13">
        <v>310</v>
      </c>
      <c r="G350" s="21">
        <v>86700</v>
      </c>
      <c r="H350" s="20"/>
      <c r="I350" s="19">
        <f>IF(2026-I$3&gt;IF($D350="",2026,$D350),IF(I$3=12,0.1*$G350,""),IF(2026-I$4&lt;$C350,"",I$4*$G350))</f>
        <v>8670</v>
      </c>
      <c r="J350" s="19">
        <f>IF(2026-J$3&gt;IF($D350="",2026,$D350),IF(J$3=12,0.1*$G350,""),IF(2026-J$4&lt;$C350,"",J$4*$G350))</f>
        <v>11271</v>
      </c>
      <c r="K350" s="19">
        <f>IF(2026-K$3&gt;IF($D350="",2026,$D350),IF(K$3=12,0.1*$G350,""),IF(2026-K$4&lt;$C350,"",K$4*$G350))</f>
        <v>14739.000000000002</v>
      </c>
      <c r="L350" s="19" t="str">
        <f>IF(2026-L$3&gt;IF($D350="",2026,$D350),IF(L$3=12,0.1*$G350,""),IF(2026-L$4&lt;$C350,"",L$4*$G350))</f>
        <v/>
      </c>
      <c r="M350" s="19" t="str">
        <f>IF(2026-M$3&gt;IF($D350="",2026,$D350),IF(M$3=12,0.1*$G350,""),IF(2026-M$4&lt;$C350,"",M$4*$G350))</f>
        <v/>
      </c>
      <c r="N350" s="19" t="str">
        <f>IF(2026-N$3&gt;IF($D350="",2026,$D350),IF(N$3=12,0.1*$G350,""),IF(2026-N$4&lt;$C350,"",N$4*$G350))</f>
        <v/>
      </c>
      <c r="O350" s="19" t="str">
        <f>IF(2026-O$3&gt;IF($D350="",2026,$D350),IF(O$3=12,0.1*$G350,""),IF(2026-O$4&lt;$C350,"",O$4*$G350))</f>
        <v/>
      </c>
      <c r="P350" s="19" t="str">
        <f>IF(2026-P$3&gt;IF($D350="",2026,$D350),IF(P$3=12,0.1*$G350,""),IF(2026-P$4&lt;$C350,"",P$4*$G350))</f>
        <v/>
      </c>
      <c r="Q350" s="19" t="str">
        <f>IF(2026-Q$3&gt;IF($D350="",2026,$D350),IF(Q$3=12,0.1*$G350,""),IF(2026-Q$4&lt;$C350,"",Q$4*$G350))</f>
        <v/>
      </c>
      <c r="R350" s="19" t="str">
        <f>IF(2026-R$3&gt;IF($D350="",2026,$D350),IF(R$3=12,0.1*$G350,""),IF(2026-R$4&lt;$C350,"",R$4*$G350))</f>
        <v/>
      </c>
      <c r="S350" s="19" t="str">
        <f>IF(2026-S$3&gt;IF($D350="",2026,$D350),IF(S$3=12,0.1*$G350,""),IF(2026-S$4&lt;$C350,"",S$4*$G350))</f>
        <v/>
      </c>
      <c r="T350" s="19" t="str">
        <f>IF(2026-T$3&gt;IF($D350="",2026,$D350),IF(T$3=12,0.1*$G350,""),IF(2026-T$4&lt;$C350,"",T$4*$G350))</f>
        <v/>
      </c>
    </row>
    <row r="351" spans="1:20" s="18" customFormat="1" ht="12" customHeight="1" x14ac:dyDescent="0.2">
      <c r="A351" s="17"/>
      <c r="B351" s="16" t="s">
        <v>107</v>
      </c>
      <c r="C351" s="13">
        <v>2013</v>
      </c>
      <c r="D351" s="13">
        <v>2016</v>
      </c>
      <c r="E351" s="13">
        <v>3605</v>
      </c>
      <c r="F351" s="13">
        <v>310</v>
      </c>
      <c r="G351" s="21">
        <v>76400</v>
      </c>
      <c r="H351" s="20"/>
      <c r="I351" s="19">
        <f>IF(2026-I$3&gt;IF($D351="",2026,$D351),IF(I$3=12,0.1*$G351,""),IF(2026-I$4&lt;$C351,"",I$4*$G351))</f>
        <v>7640</v>
      </c>
      <c r="J351" s="19">
        <f>IF(2026-J$3&gt;IF($D351="",2026,$D351),IF(J$3=12,0.1*$G351,""),IF(2026-J$4&lt;$C351,"",J$4*$G351))</f>
        <v>9932</v>
      </c>
      <c r="K351" s="19">
        <f>IF(2026-K$3&gt;IF($D351="",2026,$D351),IF(K$3=12,0.1*$G351,""),IF(2026-K$4&lt;$C351,"",K$4*$G351))</f>
        <v>12988.000000000002</v>
      </c>
      <c r="L351" s="19" t="str">
        <f>IF(2026-L$3&gt;IF($D351="",2026,$D351),IF(L$3=12,0.1*$G351,""),IF(2026-L$4&lt;$C351,"",L$4*$G351))</f>
        <v/>
      </c>
      <c r="M351" s="19" t="str">
        <f>IF(2026-M$3&gt;IF($D351="",2026,$D351),IF(M$3=12,0.1*$G351,""),IF(2026-M$4&lt;$C351,"",M$4*$G351))</f>
        <v/>
      </c>
      <c r="N351" s="19" t="str">
        <f>IF(2026-N$3&gt;IF($D351="",2026,$D351),IF(N$3=12,0.1*$G351,""),IF(2026-N$4&lt;$C351,"",N$4*$G351))</f>
        <v/>
      </c>
      <c r="O351" s="19" t="str">
        <f>IF(2026-O$3&gt;IF($D351="",2026,$D351),IF(O$3=12,0.1*$G351,""),IF(2026-O$4&lt;$C351,"",O$4*$G351))</f>
        <v/>
      </c>
      <c r="P351" s="19" t="str">
        <f>IF(2026-P$3&gt;IF($D351="",2026,$D351),IF(P$3=12,0.1*$G351,""),IF(2026-P$4&lt;$C351,"",P$4*$G351))</f>
        <v/>
      </c>
      <c r="Q351" s="19" t="str">
        <f>IF(2026-Q$3&gt;IF($D351="",2026,$D351),IF(Q$3=12,0.1*$G351,""),IF(2026-Q$4&lt;$C351,"",Q$4*$G351))</f>
        <v/>
      </c>
      <c r="R351" s="19" t="str">
        <f>IF(2026-R$3&gt;IF($D351="",2026,$D351),IF(R$3=12,0.1*$G351,""),IF(2026-R$4&lt;$C351,"",R$4*$G351))</f>
        <v/>
      </c>
      <c r="S351" s="19" t="str">
        <f>IF(2026-S$3&gt;IF($D351="",2026,$D351),IF(S$3=12,0.1*$G351,""),IF(2026-S$4&lt;$C351,"",S$4*$G351))</f>
        <v/>
      </c>
      <c r="T351" s="19" t="str">
        <f>IF(2026-T$3&gt;IF($D351="",2026,$D351),IF(T$3=12,0.1*$G351,""),IF(2026-T$4&lt;$C351,"",T$4*$G351))</f>
        <v/>
      </c>
    </row>
    <row r="352" spans="1:20" s="18" customFormat="1" ht="12" customHeight="1" x14ac:dyDescent="0.2">
      <c r="A352" s="17"/>
      <c r="B352" s="16" t="s">
        <v>106</v>
      </c>
      <c r="C352" s="13">
        <v>2013</v>
      </c>
      <c r="D352" s="13">
        <v>2016</v>
      </c>
      <c r="E352" s="13">
        <v>2995</v>
      </c>
      <c r="F352" s="13">
        <v>416</v>
      </c>
      <c r="G352" s="21">
        <v>93300</v>
      </c>
      <c r="H352" s="20"/>
      <c r="I352" s="19">
        <f>IF(2026-I$3&gt;IF($D352="",2026,$D352),IF(I$3=12,0.1*$G352,""),IF(2026-I$4&lt;$C352,"",I$4*$G352))</f>
        <v>9330</v>
      </c>
      <c r="J352" s="19">
        <f>IF(2026-J$3&gt;IF($D352="",2026,$D352),IF(J$3=12,0.1*$G352,""),IF(2026-J$4&lt;$C352,"",J$4*$G352))</f>
        <v>12129</v>
      </c>
      <c r="K352" s="19">
        <f>IF(2026-K$3&gt;IF($D352="",2026,$D352),IF(K$3=12,0.1*$G352,""),IF(2026-K$4&lt;$C352,"",K$4*$G352))</f>
        <v>15861.000000000002</v>
      </c>
      <c r="L352" s="19" t="str">
        <f>IF(2026-L$3&gt;IF($D352="",2026,$D352),IF(L$3=12,0.1*$G352,""),IF(2026-L$4&lt;$C352,"",L$4*$G352))</f>
        <v/>
      </c>
      <c r="M352" s="19" t="str">
        <f>IF(2026-M$3&gt;IF($D352="",2026,$D352),IF(M$3=12,0.1*$G352,""),IF(2026-M$4&lt;$C352,"",M$4*$G352))</f>
        <v/>
      </c>
      <c r="N352" s="19" t="str">
        <f>IF(2026-N$3&gt;IF($D352="",2026,$D352),IF(N$3=12,0.1*$G352,""),IF(2026-N$4&lt;$C352,"",N$4*$G352))</f>
        <v/>
      </c>
      <c r="O352" s="19" t="str">
        <f>IF(2026-O$3&gt;IF($D352="",2026,$D352),IF(O$3=12,0.1*$G352,""),IF(2026-O$4&lt;$C352,"",O$4*$G352))</f>
        <v/>
      </c>
      <c r="P352" s="19" t="str">
        <f>IF(2026-P$3&gt;IF($D352="",2026,$D352),IF(P$3=12,0.1*$G352,""),IF(2026-P$4&lt;$C352,"",P$4*$G352))</f>
        <v/>
      </c>
      <c r="Q352" s="19" t="str">
        <f>IF(2026-Q$3&gt;IF($D352="",2026,$D352),IF(Q$3=12,0.1*$G352,""),IF(2026-Q$4&lt;$C352,"",Q$4*$G352))</f>
        <v/>
      </c>
      <c r="R352" s="19" t="str">
        <f>IF(2026-R$3&gt;IF($D352="",2026,$D352),IF(R$3=12,0.1*$G352,""),IF(2026-R$4&lt;$C352,"",R$4*$G352))</f>
        <v/>
      </c>
      <c r="S352" s="19" t="str">
        <f>IF(2026-S$3&gt;IF($D352="",2026,$D352),IF(S$3=12,0.1*$G352,""),IF(2026-S$4&lt;$C352,"",S$4*$G352))</f>
        <v/>
      </c>
      <c r="T352" s="19" t="str">
        <f>IF(2026-T$3&gt;IF($D352="",2026,$D352),IF(T$3=12,0.1*$G352,""),IF(2026-T$4&lt;$C352,"",T$4*$G352))</f>
        <v/>
      </c>
    </row>
    <row r="353" spans="1:20" s="18" customFormat="1" ht="12" customHeight="1" x14ac:dyDescent="0.2">
      <c r="A353" s="17"/>
      <c r="B353" s="16" t="s">
        <v>105</v>
      </c>
      <c r="C353" s="13">
        <v>2013</v>
      </c>
      <c r="D353" s="13">
        <v>2016</v>
      </c>
      <c r="E353" s="13">
        <v>2997</v>
      </c>
      <c r="F353" s="13">
        <v>420</v>
      </c>
      <c r="G353" s="21">
        <v>125400</v>
      </c>
      <c r="H353" s="20"/>
      <c r="I353" s="19">
        <f>IF(2026-I$3&gt;IF($D353="",2026,$D353),IF(I$3=12,0.1*$G353,""),IF(2026-I$4&lt;$C353,"",I$4*$G353))</f>
        <v>12540</v>
      </c>
      <c r="J353" s="19">
        <f>IF(2026-J$3&gt;IF($D353="",2026,$D353),IF(J$3=12,0.1*$G353,""),IF(2026-J$4&lt;$C353,"",J$4*$G353))</f>
        <v>16302</v>
      </c>
      <c r="K353" s="19">
        <f>IF(2026-K$3&gt;IF($D353="",2026,$D353),IF(K$3=12,0.1*$G353,""),IF(2026-K$4&lt;$C353,"",K$4*$G353))</f>
        <v>21318</v>
      </c>
      <c r="L353" s="19" t="str">
        <f>IF(2026-L$3&gt;IF($D353="",2026,$D353),IF(L$3=12,0.1*$G353,""),IF(2026-L$4&lt;$C353,"",L$4*$G353))</f>
        <v/>
      </c>
      <c r="M353" s="19" t="str">
        <f>IF(2026-M$3&gt;IF($D353="",2026,$D353),IF(M$3=12,0.1*$G353,""),IF(2026-M$4&lt;$C353,"",M$4*$G353))</f>
        <v/>
      </c>
      <c r="N353" s="19" t="str">
        <f>IF(2026-N$3&gt;IF($D353="",2026,$D353),IF(N$3=12,0.1*$G353,""),IF(2026-N$4&lt;$C353,"",N$4*$G353))</f>
        <v/>
      </c>
      <c r="O353" s="19" t="str">
        <f>IF(2026-O$3&gt;IF($D353="",2026,$D353),IF(O$3=12,0.1*$G353,""),IF(2026-O$4&lt;$C353,"",O$4*$G353))</f>
        <v/>
      </c>
      <c r="P353" s="19" t="str">
        <f>IF(2026-P$3&gt;IF($D353="",2026,$D353),IF(P$3=12,0.1*$G353,""),IF(2026-P$4&lt;$C353,"",P$4*$G353))</f>
        <v/>
      </c>
      <c r="Q353" s="19" t="str">
        <f>IF(2026-Q$3&gt;IF($D353="",2026,$D353),IF(Q$3=12,0.1*$G353,""),IF(2026-Q$4&lt;$C353,"",Q$4*$G353))</f>
        <v/>
      </c>
      <c r="R353" s="19" t="str">
        <f>IF(2026-R$3&gt;IF($D353="",2026,$D353),IF(R$3=12,0.1*$G353,""),IF(2026-R$4&lt;$C353,"",R$4*$G353))</f>
        <v/>
      </c>
      <c r="S353" s="19" t="str">
        <f>IF(2026-S$3&gt;IF($D353="",2026,$D353),IF(S$3=12,0.1*$G353,""),IF(2026-S$4&lt;$C353,"",S$4*$G353))</f>
        <v/>
      </c>
      <c r="T353" s="19" t="str">
        <f>IF(2026-T$3&gt;IF($D353="",2026,$D353),IF(T$3=12,0.1*$G353,""),IF(2026-T$4&lt;$C353,"",T$4*$G353))</f>
        <v/>
      </c>
    </row>
    <row r="354" spans="1:20" s="18" customFormat="1" ht="12" customHeight="1" x14ac:dyDescent="0.2">
      <c r="A354" s="17"/>
      <c r="B354" s="16" t="s">
        <v>104</v>
      </c>
      <c r="C354" s="13">
        <v>2013</v>
      </c>
      <c r="D354" s="13">
        <v>2016</v>
      </c>
      <c r="E354" s="13">
        <v>2997</v>
      </c>
      <c r="F354" s="13">
        <v>420</v>
      </c>
      <c r="G354" s="21">
        <v>101600</v>
      </c>
      <c r="H354" s="20"/>
      <c r="I354" s="19">
        <f>IF(2026-I$3&gt;IF($D354="",2026,$D354),IF(I$3=12,0.1*$G354,""),IF(2026-I$4&lt;$C354,"",I$4*$G354))</f>
        <v>10160</v>
      </c>
      <c r="J354" s="19">
        <f>IF(2026-J$3&gt;IF($D354="",2026,$D354),IF(J$3=12,0.1*$G354,""),IF(2026-J$4&lt;$C354,"",J$4*$G354))</f>
        <v>13208</v>
      </c>
      <c r="K354" s="19">
        <f>IF(2026-K$3&gt;IF($D354="",2026,$D354),IF(K$3=12,0.1*$G354,""),IF(2026-K$4&lt;$C354,"",K$4*$G354))</f>
        <v>17272</v>
      </c>
      <c r="L354" s="19" t="str">
        <f>IF(2026-L$3&gt;IF($D354="",2026,$D354),IF(L$3=12,0.1*$G354,""),IF(2026-L$4&lt;$C354,"",L$4*$G354))</f>
        <v/>
      </c>
      <c r="M354" s="19" t="str">
        <f>IF(2026-M$3&gt;IF($D354="",2026,$D354),IF(M$3=12,0.1*$G354,""),IF(2026-M$4&lt;$C354,"",M$4*$G354))</f>
        <v/>
      </c>
      <c r="N354" s="19" t="str">
        <f>IF(2026-N$3&gt;IF($D354="",2026,$D354),IF(N$3=12,0.1*$G354,""),IF(2026-N$4&lt;$C354,"",N$4*$G354))</f>
        <v/>
      </c>
      <c r="O354" s="19" t="str">
        <f>IF(2026-O$3&gt;IF($D354="",2026,$D354),IF(O$3=12,0.1*$G354,""),IF(2026-O$4&lt;$C354,"",O$4*$G354))</f>
        <v/>
      </c>
      <c r="P354" s="19" t="str">
        <f>IF(2026-P$3&gt;IF($D354="",2026,$D354),IF(P$3=12,0.1*$G354,""),IF(2026-P$4&lt;$C354,"",P$4*$G354))</f>
        <v/>
      </c>
      <c r="Q354" s="19" t="str">
        <f>IF(2026-Q$3&gt;IF($D354="",2026,$D354),IF(Q$3=12,0.1*$G354,""),IF(2026-Q$4&lt;$C354,"",Q$4*$G354))</f>
        <v/>
      </c>
      <c r="R354" s="19" t="str">
        <f>IF(2026-R$3&gt;IF($D354="",2026,$D354),IF(R$3=12,0.1*$G354,""),IF(2026-R$4&lt;$C354,"",R$4*$G354))</f>
        <v/>
      </c>
      <c r="S354" s="19" t="str">
        <f>IF(2026-S$3&gt;IF($D354="",2026,$D354),IF(S$3=12,0.1*$G354,""),IF(2026-S$4&lt;$C354,"",S$4*$G354))</f>
        <v/>
      </c>
      <c r="T354" s="19" t="str">
        <f>IF(2026-T$3&gt;IF($D354="",2026,$D354),IF(T$3=12,0.1*$G354,""),IF(2026-T$4&lt;$C354,"",T$4*$G354))</f>
        <v/>
      </c>
    </row>
    <row r="355" spans="1:20" s="18" customFormat="1" ht="12" customHeight="1" x14ac:dyDescent="0.2">
      <c r="A355" s="17"/>
      <c r="B355" s="16" t="s">
        <v>103</v>
      </c>
      <c r="C355" s="13">
        <v>2013</v>
      </c>
      <c r="D355" s="13">
        <v>2016</v>
      </c>
      <c r="E355" s="13">
        <v>2997</v>
      </c>
      <c r="F355" s="13">
        <v>420</v>
      </c>
      <c r="G355" s="21">
        <v>96700</v>
      </c>
      <c r="H355" s="20"/>
      <c r="I355" s="19">
        <f>IF(2026-I$3&gt;IF($D355="",2026,$D355),IF(I$3=12,0.1*$G355,""),IF(2026-I$4&lt;$C355,"",I$4*$G355))</f>
        <v>9670</v>
      </c>
      <c r="J355" s="19">
        <f>IF(2026-J$3&gt;IF($D355="",2026,$D355),IF(J$3=12,0.1*$G355,""),IF(2026-J$4&lt;$C355,"",J$4*$G355))</f>
        <v>12571</v>
      </c>
      <c r="K355" s="19">
        <f>IF(2026-K$3&gt;IF($D355="",2026,$D355),IF(K$3=12,0.1*$G355,""),IF(2026-K$4&lt;$C355,"",K$4*$G355))</f>
        <v>16439</v>
      </c>
      <c r="L355" s="19" t="str">
        <f>IF(2026-L$3&gt;IF($D355="",2026,$D355),IF(L$3=12,0.1*$G355,""),IF(2026-L$4&lt;$C355,"",L$4*$G355))</f>
        <v/>
      </c>
      <c r="M355" s="19" t="str">
        <f>IF(2026-M$3&gt;IF($D355="",2026,$D355),IF(M$3=12,0.1*$G355,""),IF(2026-M$4&lt;$C355,"",M$4*$G355))</f>
        <v/>
      </c>
      <c r="N355" s="19" t="str">
        <f>IF(2026-N$3&gt;IF($D355="",2026,$D355),IF(N$3=12,0.1*$G355,""),IF(2026-N$4&lt;$C355,"",N$4*$G355))</f>
        <v/>
      </c>
      <c r="O355" s="19" t="str">
        <f>IF(2026-O$3&gt;IF($D355="",2026,$D355),IF(O$3=12,0.1*$G355,""),IF(2026-O$4&lt;$C355,"",O$4*$G355))</f>
        <v/>
      </c>
      <c r="P355" s="19" t="str">
        <f>IF(2026-P$3&gt;IF($D355="",2026,$D355),IF(P$3=12,0.1*$G355,""),IF(2026-P$4&lt;$C355,"",P$4*$G355))</f>
        <v/>
      </c>
      <c r="Q355" s="19" t="str">
        <f>IF(2026-Q$3&gt;IF($D355="",2026,$D355),IF(Q$3=12,0.1*$G355,""),IF(2026-Q$4&lt;$C355,"",Q$4*$G355))</f>
        <v/>
      </c>
      <c r="R355" s="19" t="str">
        <f>IF(2026-R$3&gt;IF($D355="",2026,$D355),IF(R$3=12,0.1*$G355,""),IF(2026-R$4&lt;$C355,"",R$4*$G355))</f>
        <v/>
      </c>
      <c r="S355" s="19" t="str">
        <f>IF(2026-S$3&gt;IF($D355="",2026,$D355),IF(S$3=12,0.1*$G355,""),IF(2026-S$4&lt;$C355,"",S$4*$G355))</f>
        <v/>
      </c>
      <c r="T355" s="19" t="str">
        <f>IF(2026-T$3&gt;IF($D355="",2026,$D355),IF(T$3=12,0.1*$G355,""),IF(2026-T$4&lt;$C355,"",T$4*$G355))</f>
        <v/>
      </c>
    </row>
    <row r="356" spans="1:20" s="18" customFormat="1" ht="12" customHeight="1" x14ac:dyDescent="0.2">
      <c r="A356" s="17"/>
      <c r="B356" s="16" t="s">
        <v>102</v>
      </c>
      <c r="C356" s="13">
        <v>2013</v>
      </c>
      <c r="D356" s="13">
        <v>2016</v>
      </c>
      <c r="E356" s="13">
        <v>4806</v>
      </c>
      <c r="F356" s="13">
        <v>440</v>
      </c>
      <c r="G356" s="21">
        <v>115100</v>
      </c>
      <c r="H356" s="20"/>
      <c r="I356" s="19">
        <f>IF(2026-I$3&gt;IF($D356="",2026,$D356),IF(I$3=12,0.1*$G356,""),IF(2026-I$4&lt;$C356,"",I$4*$G356))</f>
        <v>11510</v>
      </c>
      <c r="J356" s="19">
        <f>IF(2026-J$3&gt;IF($D356="",2026,$D356),IF(J$3=12,0.1*$G356,""),IF(2026-J$4&lt;$C356,"",J$4*$G356))</f>
        <v>14963</v>
      </c>
      <c r="K356" s="19">
        <f>IF(2026-K$3&gt;IF($D356="",2026,$D356),IF(K$3=12,0.1*$G356,""),IF(2026-K$4&lt;$C356,"",K$4*$G356))</f>
        <v>19567</v>
      </c>
      <c r="L356" s="19" t="str">
        <f>IF(2026-L$3&gt;IF($D356="",2026,$D356),IF(L$3=12,0.1*$G356,""),IF(2026-L$4&lt;$C356,"",L$4*$G356))</f>
        <v/>
      </c>
      <c r="M356" s="19" t="str">
        <f>IF(2026-M$3&gt;IF($D356="",2026,$D356),IF(M$3=12,0.1*$G356,""),IF(2026-M$4&lt;$C356,"",M$4*$G356))</f>
        <v/>
      </c>
      <c r="N356" s="19" t="str">
        <f>IF(2026-N$3&gt;IF($D356="",2026,$D356),IF(N$3=12,0.1*$G356,""),IF(2026-N$4&lt;$C356,"",N$4*$G356))</f>
        <v/>
      </c>
      <c r="O356" s="19" t="str">
        <f>IF(2026-O$3&gt;IF($D356="",2026,$D356),IF(O$3=12,0.1*$G356,""),IF(2026-O$4&lt;$C356,"",O$4*$G356))</f>
        <v/>
      </c>
      <c r="P356" s="19" t="str">
        <f>IF(2026-P$3&gt;IF($D356="",2026,$D356),IF(P$3=12,0.1*$G356,""),IF(2026-P$4&lt;$C356,"",P$4*$G356))</f>
        <v/>
      </c>
      <c r="Q356" s="19" t="str">
        <f>IF(2026-Q$3&gt;IF($D356="",2026,$D356),IF(Q$3=12,0.1*$G356,""),IF(2026-Q$4&lt;$C356,"",Q$4*$G356))</f>
        <v/>
      </c>
      <c r="R356" s="19" t="str">
        <f>IF(2026-R$3&gt;IF($D356="",2026,$D356),IF(R$3=12,0.1*$G356,""),IF(2026-R$4&lt;$C356,"",R$4*$G356))</f>
        <v/>
      </c>
      <c r="S356" s="19" t="str">
        <f>IF(2026-S$3&gt;IF($D356="",2026,$D356),IF(S$3=12,0.1*$G356,""),IF(2026-S$4&lt;$C356,"",S$4*$G356))</f>
        <v/>
      </c>
      <c r="T356" s="19" t="str">
        <f>IF(2026-T$3&gt;IF($D356="",2026,$D356),IF(T$3=12,0.1*$G356,""),IF(2026-T$4&lt;$C356,"",T$4*$G356))</f>
        <v/>
      </c>
    </row>
    <row r="357" spans="1:20" s="18" customFormat="1" ht="12" customHeight="1" x14ac:dyDescent="0.2">
      <c r="A357" s="17"/>
      <c r="B357" s="16" t="s">
        <v>101</v>
      </c>
      <c r="C357" s="13">
        <v>2013</v>
      </c>
      <c r="D357" s="13">
        <v>2016</v>
      </c>
      <c r="E357" s="13">
        <v>4806</v>
      </c>
      <c r="F357" s="13">
        <v>520</v>
      </c>
      <c r="G357" s="21">
        <v>154100</v>
      </c>
      <c r="H357" s="20"/>
      <c r="I357" s="19">
        <f>IF(2026-I$3&gt;IF($D357="",2026,$D357),IF(I$3=12,0.1*$G357,""),IF(2026-I$4&lt;$C357,"",I$4*$G357))</f>
        <v>15410</v>
      </c>
      <c r="J357" s="19">
        <f>IF(2026-J$3&gt;IF($D357="",2026,$D357),IF(J$3=12,0.1*$G357,""),IF(2026-J$4&lt;$C357,"",J$4*$G357))</f>
        <v>20033</v>
      </c>
      <c r="K357" s="19">
        <f>IF(2026-K$3&gt;IF($D357="",2026,$D357),IF(K$3=12,0.1*$G357,""),IF(2026-K$4&lt;$C357,"",K$4*$G357))</f>
        <v>26197.000000000004</v>
      </c>
      <c r="L357" s="19" t="str">
        <f>IF(2026-L$3&gt;IF($D357="",2026,$D357),IF(L$3=12,0.1*$G357,""),IF(2026-L$4&lt;$C357,"",L$4*$G357))</f>
        <v/>
      </c>
      <c r="M357" s="19" t="str">
        <f>IF(2026-M$3&gt;IF($D357="",2026,$D357),IF(M$3=12,0.1*$G357,""),IF(2026-M$4&lt;$C357,"",M$4*$G357))</f>
        <v/>
      </c>
      <c r="N357" s="19" t="str">
        <f>IF(2026-N$3&gt;IF($D357="",2026,$D357),IF(N$3=12,0.1*$G357,""),IF(2026-N$4&lt;$C357,"",N$4*$G357))</f>
        <v/>
      </c>
      <c r="O357" s="19" t="str">
        <f>IF(2026-O$3&gt;IF($D357="",2026,$D357),IF(O$3=12,0.1*$G357,""),IF(2026-O$4&lt;$C357,"",O$4*$G357))</f>
        <v/>
      </c>
      <c r="P357" s="19" t="str">
        <f>IF(2026-P$3&gt;IF($D357="",2026,$D357),IF(P$3=12,0.1*$G357,""),IF(2026-P$4&lt;$C357,"",P$4*$G357))</f>
        <v/>
      </c>
      <c r="Q357" s="19" t="str">
        <f>IF(2026-Q$3&gt;IF($D357="",2026,$D357),IF(Q$3=12,0.1*$G357,""),IF(2026-Q$4&lt;$C357,"",Q$4*$G357))</f>
        <v/>
      </c>
      <c r="R357" s="19" t="str">
        <f>IF(2026-R$3&gt;IF($D357="",2026,$D357),IF(R$3=12,0.1*$G357,""),IF(2026-R$4&lt;$C357,"",R$4*$G357))</f>
        <v/>
      </c>
      <c r="S357" s="19" t="str">
        <f>IF(2026-S$3&gt;IF($D357="",2026,$D357),IF(S$3=12,0.1*$G357,""),IF(2026-S$4&lt;$C357,"",S$4*$G357))</f>
        <v/>
      </c>
      <c r="T357" s="19" t="str">
        <f>IF(2026-T$3&gt;IF($D357="",2026,$D357),IF(T$3=12,0.1*$G357,""),IF(2026-T$4&lt;$C357,"",T$4*$G357))</f>
        <v/>
      </c>
    </row>
    <row r="358" spans="1:20" s="18" customFormat="1" ht="12" customHeight="1" x14ac:dyDescent="0.2">
      <c r="A358" s="17"/>
      <c r="B358" s="16" t="s">
        <v>100</v>
      </c>
      <c r="C358" s="13">
        <v>2013</v>
      </c>
      <c r="D358" s="13">
        <v>2016</v>
      </c>
      <c r="E358" s="13">
        <v>4806</v>
      </c>
      <c r="F358" s="13">
        <v>520</v>
      </c>
      <c r="G358" s="21">
        <v>137900</v>
      </c>
      <c r="H358" s="20"/>
      <c r="I358" s="19">
        <f>IF(2026-I$3&gt;IF($D358="",2026,$D358),IF(I$3=12,0.1*$G358,""),IF(2026-I$4&lt;$C358,"",I$4*$G358))</f>
        <v>13790</v>
      </c>
      <c r="J358" s="19">
        <f>IF(2026-J$3&gt;IF($D358="",2026,$D358),IF(J$3=12,0.1*$G358,""),IF(2026-J$4&lt;$C358,"",J$4*$G358))</f>
        <v>17927</v>
      </c>
      <c r="K358" s="19">
        <f>IF(2026-K$3&gt;IF($D358="",2026,$D358),IF(K$3=12,0.1*$G358,""),IF(2026-K$4&lt;$C358,"",K$4*$G358))</f>
        <v>23443</v>
      </c>
      <c r="L358" s="19" t="str">
        <f>IF(2026-L$3&gt;IF($D358="",2026,$D358),IF(L$3=12,0.1*$G358,""),IF(2026-L$4&lt;$C358,"",L$4*$G358))</f>
        <v/>
      </c>
      <c r="M358" s="19" t="str">
        <f>IF(2026-M$3&gt;IF($D358="",2026,$D358),IF(M$3=12,0.1*$G358,""),IF(2026-M$4&lt;$C358,"",M$4*$G358))</f>
        <v/>
      </c>
      <c r="N358" s="19" t="str">
        <f>IF(2026-N$3&gt;IF($D358="",2026,$D358),IF(N$3=12,0.1*$G358,""),IF(2026-N$4&lt;$C358,"",N$4*$G358))</f>
        <v/>
      </c>
      <c r="O358" s="19" t="str">
        <f>IF(2026-O$3&gt;IF($D358="",2026,$D358),IF(O$3=12,0.1*$G358,""),IF(2026-O$4&lt;$C358,"",O$4*$G358))</f>
        <v/>
      </c>
      <c r="P358" s="19" t="str">
        <f>IF(2026-P$3&gt;IF($D358="",2026,$D358),IF(P$3=12,0.1*$G358,""),IF(2026-P$4&lt;$C358,"",P$4*$G358))</f>
        <v/>
      </c>
      <c r="Q358" s="19" t="str">
        <f>IF(2026-Q$3&gt;IF($D358="",2026,$D358),IF(Q$3=12,0.1*$G358,""),IF(2026-Q$4&lt;$C358,"",Q$4*$G358))</f>
        <v/>
      </c>
      <c r="R358" s="19" t="str">
        <f>IF(2026-R$3&gt;IF($D358="",2026,$D358),IF(R$3=12,0.1*$G358,""),IF(2026-R$4&lt;$C358,"",R$4*$G358))</f>
        <v/>
      </c>
      <c r="S358" s="19" t="str">
        <f>IF(2026-S$3&gt;IF($D358="",2026,$D358),IF(S$3=12,0.1*$G358,""),IF(2026-S$4&lt;$C358,"",S$4*$G358))</f>
        <v/>
      </c>
      <c r="T358" s="19" t="str">
        <f>IF(2026-T$3&gt;IF($D358="",2026,$D358),IF(T$3=12,0.1*$G358,""),IF(2026-T$4&lt;$C358,"",T$4*$G358))</f>
        <v/>
      </c>
    </row>
    <row r="359" spans="1:20" s="18" customFormat="1" ht="12" customHeight="1" x14ac:dyDescent="0.2">
      <c r="A359" s="17"/>
      <c r="B359" s="16" t="s">
        <v>99</v>
      </c>
      <c r="C359" s="13">
        <v>2013</v>
      </c>
      <c r="D359" s="13">
        <v>2016</v>
      </c>
      <c r="E359" s="13">
        <v>4806</v>
      </c>
      <c r="F359" s="13">
        <v>570</v>
      </c>
      <c r="G359" s="21">
        <v>185500</v>
      </c>
      <c r="H359" s="20"/>
      <c r="I359" s="19">
        <f>IF(2026-I$3&gt;IF($D359="",2026,$D359),IF(I$3=12,0.1*$G359,""),IF(2026-I$4&lt;$C359,"",I$4*$G359))</f>
        <v>18550</v>
      </c>
      <c r="J359" s="19">
        <f>IF(2026-J$3&gt;IF($D359="",2026,$D359),IF(J$3=12,0.1*$G359,""),IF(2026-J$4&lt;$C359,"",J$4*$G359))</f>
        <v>24115</v>
      </c>
      <c r="K359" s="19">
        <f>IF(2026-K$3&gt;IF($D359="",2026,$D359),IF(K$3=12,0.1*$G359,""),IF(2026-K$4&lt;$C359,"",K$4*$G359))</f>
        <v>31535.000000000004</v>
      </c>
      <c r="L359" s="19" t="str">
        <f>IF(2026-L$3&gt;IF($D359="",2026,$D359),IF(L$3=12,0.1*$G359,""),IF(2026-L$4&lt;$C359,"",L$4*$G359))</f>
        <v/>
      </c>
      <c r="M359" s="19" t="str">
        <f>IF(2026-M$3&gt;IF($D359="",2026,$D359),IF(M$3=12,0.1*$G359,""),IF(2026-M$4&lt;$C359,"",M$4*$G359))</f>
        <v/>
      </c>
      <c r="N359" s="19" t="str">
        <f>IF(2026-N$3&gt;IF($D359="",2026,$D359),IF(N$3=12,0.1*$G359,""),IF(2026-N$4&lt;$C359,"",N$4*$G359))</f>
        <v/>
      </c>
      <c r="O359" s="19" t="str">
        <f>IF(2026-O$3&gt;IF($D359="",2026,$D359),IF(O$3=12,0.1*$G359,""),IF(2026-O$4&lt;$C359,"",O$4*$G359))</f>
        <v/>
      </c>
      <c r="P359" s="19" t="str">
        <f>IF(2026-P$3&gt;IF($D359="",2026,$D359),IF(P$3=12,0.1*$G359,""),IF(2026-P$4&lt;$C359,"",P$4*$G359))</f>
        <v/>
      </c>
      <c r="Q359" s="19" t="str">
        <f>IF(2026-Q$3&gt;IF($D359="",2026,$D359),IF(Q$3=12,0.1*$G359,""),IF(2026-Q$4&lt;$C359,"",Q$4*$G359))</f>
        <v/>
      </c>
      <c r="R359" s="19" t="str">
        <f>IF(2026-R$3&gt;IF($D359="",2026,$D359),IF(R$3=12,0.1*$G359,""),IF(2026-R$4&lt;$C359,"",R$4*$G359))</f>
        <v/>
      </c>
      <c r="S359" s="19" t="str">
        <f>IF(2026-S$3&gt;IF($D359="",2026,$D359),IF(S$3=12,0.1*$G359,""),IF(2026-S$4&lt;$C359,"",S$4*$G359))</f>
        <v/>
      </c>
      <c r="T359" s="19" t="str">
        <f>IF(2026-T$3&gt;IF($D359="",2026,$D359),IF(T$3=12,0.1*$G359,""),IF(2026-T$4&lt;$C359,"",T$4*$G359))</f>
        <v/>
      </c>
    </row>
    <row r="360" spans="1:20" s="18" customFormat="1" ht="12" customHeight="1" x14ac:dyDescent="0.2">
      <c r="A360" s="17"/>
      <c r="B360" s="16" t="s">
        <v>98</v>
      </c>
      <c r="C360" s="13">
        <v>2013</v>
      </c>
      <c r="D360" s="13">
        <v>2016</v>
      </c>
      <c r="E360" s="13">
        <v>4806</v>
      </c>
      <c r="F360" s="13">
        <v>570</v>
      </c>
      <c r="G360" s="21">
        <v>169600</v>
      </c>
      <c r="H360" s="20"/>
      <c r="I360" s="19">
        <f>IF(2026-I$3&gt;IF($D360="",2026,$D360),IF(I$3=12,0.1*$G360,""),IF(2026-I$4&lt;$C360,"",I$4*$G360))</f>
        <v>16960</v>
      </c>
      <c r="J360" s="19">
        <f>IF(2026-J$3&gt;IF($D360="",2026,$D360),IF(J$3=12,0.1*$G360,""),IF(2026-J$4&lt;$C360,"",J$4*$G360))</f>
        <v>22048</v>
      </c>
      <c r="K360" s="19">
        <f>IF(2026-K$3&gt;IF($D360="",2026,$D360),IF(K$3=12,0.1*$G360,""),IF(2026-K$4&lt;$C360,"",K$4*$G360))</f>
        <v>28832.000000000004</v>
      </c>
      <c r="L360" s="19" t="str">
        <f>IF(2026-L$3&gt;IF($D360="",2026,$D360),IF(L$3=12,0.1*$G360,""),IF(2026-L$4&lt;$C360,"",L$4*$G360))</f>
        <v/>
      </c>
      <c r="M360" s="19" t="str">
        <f>IF(2026-M$3&gt;IF($D360="",2026,$D360),IF(M$3=12,0.1*$G360,""),IF(2026-M$4&lt;$C360,"",M$4*$G360))</f>
        <v/>
      </c>
      <c r="N360" s="19" t="str">
        <f>IF(2026-N$3&gt;IF($D360="",2026,$D360),IF(N$3=12,0.1*$G360,""),IF(2026-N$4&lt;$C360,"",N$4*$G360))</f>
        <v/>
      </c>
      <c r="O360" s="19" t="str">
        <f>IF(2026-O$3&gt;IF($D360="",2026,$D360),IF(O$3=12,0.1*$G360,""),IF(2026-O$4&lt;$C360,"",O$4*$G360))</f>
        <v/>
      </c>
      <c r="P360" s="19" t="str">
        <f>IF(2026-P$3&gt;IF($D360="",2026,$D360),IF(P$3=12,0.1*$G360,""),IF(2026-P$4&lt;$C360,"",P$4*$G360))</f>
        <v/>
      </c>
      <c r="Q360" s="19" t="str">
        <f>IF(2026-Q$3&gt;IF($D360="",2026,$D360),IF(Q$3=12,0.1*$G360,""),IF(2026-Q$4&lt;$C360,"",Q$4*$G360))</f>
        <v/>
      </c>
      <c r="R360" s="19" t="str">
        <f>IF(2026-R$3&gt;IF($D360="",2026,$D360),IF(R$3=12,0.1*$G360,""),IF(2026-R$4&lt;$C360,"",R$4*$G360))</f>
        <v/>
      </c>
      <c r="S360" s="19" t="str">
        <f>IF(2026-S$3&gt;IF($D360="",2026,$D360),IF(S$3=12,0.1*$G360,""),IF(2026-S$4&lt;$C360,"",S$4*$G360))</f>
        <v/>
      </c>
      <c r="T360" s="19" t="str">
        <f>IF(2026-T$3&gt;IF($D360="",2026,$D360),IF(T$3=12,0.1*$G360,""),IF(2026-T$4&lt;$C360,"",T$4*$G360))</f>
        <v/>
      </c>
    </row>
    <row r="361" spans="1:20" s="18" customFormat="1" ht="12" customHeight="1" x14ac:dyDescent="0.2">
      <c r="A361" s="17"/>
      <c r="B361" s="16" t="s">
        <v>97</v>
      </c>
      <c r="C361" s="13">
        <v>2016</v>
      </c>
      <c r="D361" s="13"/>
      <c r="E361" s="13">
        <v>2995</v>
      </c>
      <c r="F361" s="13">
        <v>330</v>
      </c>
      <c r="G361" s="21">
        <v>85500</v>
      </c>
      <c r="H361" s="20"/>
      <c r="I361" s="19">
        <f>IF(2026-I$3&gt;IF($D361="",2026,$D361),IF(I$3=12,0.1*$G361,""),IF(2026-I$4&lt;$C361,"",I$4*$G361))</f>
        <v>8550</v>
      </c>
      <c r="J361" s="19">
        <f>IF(2026-J$3&gt;IF($D361="",2026,$D361),IF(J$3=12,0.1*$G361,""),IF(2026-J$4&lt;$C361,"",J$4*$G361))</f>
        <v>11115</v>
      </c>
      <c r="K361" s="19">
        <f>IF(2026-K$3&gt;IF($D361="",2026,$D361),IF(K$3=12,0.1*$G361,""),IF(2026-K$4&lt;$C361,"",K$4*$G361))</f>
        <v>14535.000000000002</v>
      </c>
      <c r="L361" s="19">
        <f>IF(2026-L$3&gt;IF($D361="",2026,$D361),IF(L$3=12,0.1*$G361,""),IF(2026-L$4&lt;$C361,"",L$4*$G361))</f>
        <v>16245</v>
      </c>
      <c r="M361" s="19">
        <f>IF(2026-M$3&gt;IF($D361="",2026,$D361),IF(M$3=12,0.1*$G361,""),IF(2026-M$4&lt;$C361,"",M$4*$G361))</f>
        <v>20520</v>
      </c>
      <c r="N361" s="19">
        <f>IF(2026-N$3&gt;IF($D361="",2026,$D361),IF(N$3=12,0.1*$G361,""),IF(2026-N$4&lt;$C361,"",N$4*$G361))</f>
        <v>23940.000000000004</v>
      </c>
      <c r="O361" s="19">
        <f>IF(2026-O$3&gt;IF($D361="",2026,$D361),IF(O$3=12,0.1*$G361,""),IF(2026-O$4&lt;$C361,"",O$4*$G361))</f>
        <v>29070.000000000004</v>
      </c>
      <c r="P361" s="19">
        <f>IF(2026-P$3&gt;IF($D361="",2026,$D361),IF(P$3=12,0.1*$G361,""),IF(2026-P$4&lt;$C361,"",P$4*$G361))</f>
        <v>33345</v>
      </c>
      <c r="Q361" s="19">
        <f>IF(2026-Q$3&gt;IF($D361="",2026,$D361),IF(Q$3=12,0.1*$G361,""),IF(2026-Q$4&lt;$C361,"",Q$4*$G361))</f>
        <v>40185</v>
      </c>
      <c r="R361" s="19">
        <f>IF(2026-R$3&gt;IF($D361="",2026,$D361),IF(R$3=12,0.1*$G361,""),IF(2026-R$4&lt;$C361,"",R$4*$G361))</f>
        <v>47880.000000000007</v>
      </c>
      <c r="S361" s="19">
        <f>IF(2026-S$3&gt;IF($D361="",2026,$D361),IF(S$3=12,0.1*$G361,""),IF(2026-S$4&lt;$C361,"",S$4*$G361))</f>
        <v>57285</v>
      </c>
      <c r="T361" s="19">
        <f>IF(2026-T$3&gt;IF($D361="",2026,$D361),IF(T$3=12,0.1*$G361,""),IF(2026-T$4&lt;$C361,"",T$4*$G361))</f>
        <v>71820</v>
      </c>
    </row>
    <row r="362" spans="1:20" s="18" customFormat="1" ht="12" customHeight="1" x14ac:dyDescent="0.2">
      <c r="A362" s="17"/>
      <c r="B362" s="16" t="s">
        <v>96</v>
      </c>
      <c r="C362" s="13">
        <v>2016</v>
      </c>
      <c r="D362" s="13"/>
      <c r="E362" s="13">
        <v>2995</v>
      </c>
      <c r="F362" s="13">
        <v>330</v>
      </c>
      <c r="G362" s="21">
        <v>89300</v>
      </c>
      <c r="H362" s="20"/>
      <c r="I362" s="19">
        <f>IF(2026-I$3&gt;IF($D362="",2026,$D362),IF(I$3=12,0.1*$G362,""),IF(2026-I$4&lt;$C362,"",I$4*$G362))</f>
        <v>8930</v>
      </c>
      <c r="J362" s="19">
        <f>IF(2026-J$3&gt;IF($D362="",2026,$D362),IF(J$3=12,0.1*$G362,""),IF(2026-J$4&lt;$C362,"",J$4*$G362))</f>
        <v>11609</v>
      </c>
      <c r="K362" s="19">
        <f>IF(2026-K$3&gt;IF($D362="",2026,$D362),IF(K$3=12,0.1*$G362,""),IF(2026-K$4&lt;$C362,"",K$4*$G362))</f>
        <v>15181.000000000002</v>
      </c>
      <c r="L362" s="19">
        <f>IF(2026-L$3&gt;IF($D362="",2026,$D362),IF(L$3=12,0.1*$G362,""),IF(2026-L$4&lt;$C362,"",L$4*$G362))</f>
        <v>16967</v>
      </c>
      <c r="M362" s="19">
        <f>IF(2026-M$3&gt;IF($D362="",2026,$D362),IF(M$3=12,0.1*$G362,""),IF(2026-M$4&lt;$C362,"",M$4*$G362))</f>
        <v>21432</v>
      </c>
      <c r="N362" s="19">
        <f>IF(2026-N$3&gt;IF($D362="",2026,$D362),IF(N$3=12,0.1*$G362,""),IF(2026-N$4&lt;$C362,"",N$4*$G362))</f>
        <v>25004.000000000004</v>
      </c>
      <c r="O362" s="19">
        <f>IF(2026-O$3&gt;IF($D362="",2026,$D362),IF(O$3=12,0.1*$G362,""),IF(2026-O$4&lt;$C362,"",O$4*$G362))</f>
        <v>30362.000000000004</v>
      </c>
      <c r="P362" s="19">
        <f>IF(2026-P$3&gt;IF($D362="",2026,$D362),IF(P$3=12,0.1*$G362,""),IF(2026-P$4&lt;$C362,"",P$4*$G362))</f>
        <v>34827</v>
      </c>
      <c r="Q362" s="19">
        <f>IF(2026-Q$3&gt;IF($D362="",2026,$D362),IF(Q$3=12,0.1*$G362,""),IF(2026-Q$4&lt;$C362,"",Q$4*$G362))</f>
        <v>41971</v>
      </c>
      <c r="R362" s="19">
        <f>IF(2026-R$3&gt;IF($D362="",2026,$D362),IF(R$3=12,0.1*$G362,""),IF(2026-R$4&lt;$C362,"",R$4*$G362))</f>
        <v>50008.000000000007</v>
      </c>
      <c r="S362" s="19">
        <f>IF(2026-S$3&gt;IF($D362="",2026,$D362),IF(S$3=12,0.1*$G362,""),IF(2026-S$4&lt;$C362,"",S$4*$G362))</f>
        <v>59831</v>
      </c>
      <c r="T362" s="19">
        <f>IF(2026-T$3&gt;IF($D362="",2026,$D362),IF(T$3=12,0.1*$G362,""),IF(2026-T$4&lt;$C362,"",T$4*$G362))</f>
        <v>75012</v>
      </c>
    </row>
    <row r="363" spans="1:20" s="18" customFormat="1" ht="12" customHeight="1" x14ac:dyDescent="0.2">
      <c r="A363" s="17"/>
      <c r="B363" s="16" t="s">
        <v>95</v>
      </c>
      <c r="C363" s="13">
        <v>2016</v>
      </c>
      <c r="D363" s="13"/>
      <c r="E363" s="13">
        <v>2997</v>
      </c>
      <c r="F363" s="13">
        <v>330</v>
      </c>
      <c r="G363" s="21">
        <v>91300</v>
      </c>
      <c r="H363" s="20"/>
      <c r="I363" s="19">
        <f>IF(2026-I$3&gt;IF($D363="",2026,$D363),IF(I$3=12,0.1*$G363,""),IF(2026-I$4&lt;$C363,"",I$4*$G363))</f>
        <v>9130</v>
      </c>
      <c r="J363" s="19">
        <f>IF(2026-J$3&gt;IF($D363="",2026,$D363),IF(J$3=12,0.1*$G363,""),IF(2026-J$4&lt;$C363,"",J$4*$G363))</f>
        <v>11869</v>
      </c>
      <c r="K363" s="19">
        <f>IF(2026-K$3&gt;IF($D363="",2026,$D363),IF(K$3=12,0.1*$G363,""),IF(2026-K$4&lt;$C363,"",K$4*$G363))</f>
        <v>15521.000000000002</v>
      </c>
      <c r="L363" s="19">
        <f>IF(2026-L$3&gt;IF($D363="",2026,$D363),IF(L$3=12,0.1*$G363,""),IF(2026-L$4&lt;$C363,"",L$4*$G363))</f>
        <v>17347</v>
      </c>
      <c r="M363" s="19">
        <f>IF(2026-M$3&gt;IF($D363="",2026,$D363),IF(M$3=12,0.1*$G363,""),IF(2026-M$4&lt;$C363,"",M$4*$G363))</f>
        <v>21912</v>
      </c>
      <c r="N363" s="19">
        <f>IF(2026-N$3&gt;IF($D363="",2026,$D363),IF(N$3=12,0.1*$G363,""),IF(2026-N$4&lt;$C363,"",N$4*$G363))</f>
        <v>25564.000000000004</v>
      </c>
      <c r="O363" s="19">
        <f>IF(2026-O$3&gt;IF($D363="",2026,$D363),IF(O$3=12,0.1*$G363,""),IF(2026-O$4&lt;$C363,"",O$4*$G363))</f>
        <v>31042.000000000004</v>
      </c>
      <c r="P363" s="19">
        <f>IF(2026-P$3&gt;IF($D363="",2026,$D363),IF(P$3=12,0.1*$G363,""),IF(2026-P$4&lt;$C363,"",P$4*$G363))</f>
        <v>35607</v>
      </c>
      <c r="Q363" s="19">
        <f>IF(2026-Q$3&gt;IF($D363="",2026,$D363),IF(Q$3=12,0.1*$G363,""),IF(2026-Q$4&lt;$C363,"",Q$4*$G363))</f>
        <v>42911</v>
      </c>
      <c r="R363" s="19">
        <f>IF(2026-R$3&gt;IF($D363="",2026,$D363),IF(R$3=12,0.1*$G363,""),IF(2026-R$4&lt;$C363,"",R$4*$G363))</f>
        <v>51128.000000000007</v>
      </c>
      <c r="S363" s="19">
        <f>IF(2026-S$3&gt;IF($D363="",2026,$D363),IF(S$3=12,0.1*$G363,""),IF(2026-S$4&lt;$C363,"",S$4*$G363))</f>
        <v>61171.000000000007</v>
      </c>
      <c r="T363" s="19">
        <f>IF(2026-T$3&gt;IF($D363="",2026,$D363),IF(T$3=12,0.1*$G363,""),IF(2026-T$4&lt;$C363,"",T$4*$G363))</f>
        <v>76692</v>
      </c>
    </row>
    <row r="364" spans="1:20" s="18" customFormat="1" ht="12" customHeight="1" x14ac:dyDescent="0.2">
      <c r="A364" s="17"/>
      <c r="B364" s="16" t="s">
        <v>94</v>
      </c>
      <c r="C364" s="13">
        <v>2016</v>
      </c>
      <c r="D364" s="13"/>
      <c r="E364" s="13">
        <v>2995</v>
      </c>
      <c r="F364" s="13">
        <v>330</v>
      </c>
      <c r="G364" s="21">
        <v>98300</v>
      </c>
      <c r="H364" s="20"/>
      <c r="I364" s="19">
        <f>IF(2026-I$3&gt;IF($D364="",2026,$D364),IF(I$3=12,0.1*$G364,""),IF(2026-I$4&lt;$C364,"",I$4*$G364))</f>
        <v>9830</v>
      </c>
      <c r="J364" s="19">
        <f>IF(2026-J$3&gt;IF($D364="",2026,$D364),IF(J$3=12,0.1*$G364,""),IF(2026-J$4&lt;$C364,"",J$4*$G364))</f>
        <v>12779</v>
      </c>
      <c r="K364" s="19">
        <f>IF(2026-K$3&gt;IF($D364="",2026,$D364),IF(K$3=12,0.1*$G364,""),IF(2026-K$4&lt;$C364,"",K$4*$G364))</f>
        <v>16711</v>
      </c>
      <c r="L364" s="19">
        <f>IF(2026-L$3&gt;IF($D364="",2026,$D364),IF(L$3=12,0.1*$G364,""),IF(2026-L$4&lt;$C364,"",L$4*$G364))</f>
        <v>18677</v>
      </c>
      <c r="M364" s="19">
        <f>IF(2026-M$3&gt;IF($D364="",2026,$D364),IF(M$3=12,0.1*$G364,""),IF(2026-M$4&lt;$C364,"",M$4*$G364))</f>
        <v>23592</v>
      </c>
      <c r="N364" s="19">
        <f>IF(2026-N$3&gt;IF($D364="",2026,$D364),IF(N$3=12,0.1*$G364,""),IF(2026-N$4&lt;$C364,"",N$4*$G364))</f>
        <v>27524.000000000004</v>
      </c>
      <c r="O364" s="19">
        <f>IF(2026-O$3&gt;IF($D364="",2026,$D364),IF(O$3=12,0.1*$G364,""),IF(2026-O$4&lt;$C364,"",O$4*$G364))</f>
        <v>33422</v>
      </c>
      <c r="P364" s="19">
        <f>IF(2026-P$3&gt;IF($D364="",2026,$D364),IF(P$3=12,0.1*$G364,""),IF(2026-P$4&lt;$C364,"",P$4*$G364))</f>
        <v>38337</v>
      </c>
      <c r="Q364" s="19">
        <f>IF(2026-Q$3&gt;IF($D364="",2026,$D364),IF(Q$3=12,0.1*$G364,""),IF(2026-Q$4&lt;$C364,"",Q$4*$G364))</f>
        <v>46201</v>
      </c>
      <c r="R364" s="19">
        <f>IF(2026-R$3&gt;IF($D364="",2026,$D364),IF(R$3=12,0.1*$G364,""),IF(2026-R$4&lt;$C364,"",R$4*$G364))</f>
        <v>55048.000000000007</v>
      </c>
      <c r="S364" s="19">
        <f>IF(2026-S$3&gt;IF($D364="",2026,$D364),IF(S$3=12,0.1*$G364,""),IF(2026-S$4&lt;$C364,"",S$4*$G364))</f>
        <v>65861</v>
      </c>
      <c r="T364" s="19">
        <f>IF(2026-T$3&gt;IF($D364="",2026,$D364),IF(T$3=12,0.1*$G364,""),IF(2026-T$4&lt;$C364,"",T$4*$G364))</f>
        <v>82572</v>
      </c>
    </row>
    <row r="365" spans="1:20" s="18" customFormat="1" ht="12" customHeight="1" x14ac:dyDescent="0.2">
      <c r="A365" s="17"/>
      <c r="B365" s="16" t="s">
        <v>93</v>
      </c>
      <c r="C365" s="13">
        <v>2016</v>
      </c>
      <c r="D365" s="13"/>
      <c r="E365" s="13">
        <v>2997</v>
      </c>
      <c r="F365" s="13">
        <v>330</v>
      </c>
      <c r="G365" s="21">
        <v>87500</v>
      </c>
      <c r="H365" s="20"/>
      <c r="I365" s="19">
        <f>IF(2026-I$3&gt;IF($D365="",2026,$D365),IF(I$3=12,0.1*$G365,""),IF(2026-I$4&lt;$C365,"",I$4*$G365))</f>
        <v>8750</v>
      </c>
      <c r="J365" s="19">
        <f>IF(2026-J$3&gt;IF($D365="",2026,$D365),IF(J$3=12,0.1*$G365,""),IF(2026-J$4&lt;$C365,"",J$4*$G365))</f>
        <v>11375</v>
      </c>
      <c r="K365" s="19">
        <f>IF(2026-K$3&gt;IF($D365="",2026,$D365),IF(K$3=12,0.1*$G365,""),IF(2026-K$4&lt;$C365,"",K$4*$G365))</f>
        <v>14875.000000000002</v>
      </c>
      <c r="L365" s="19">
        <f>IF(2026-L$3&gt;IF($D365="",2026,$D365),IF(L$3=12,0.1*$G365,""),IF(2026-L$4&lt;$C365,"",L$4*$G365))</f>
        <v>16625</v>
      </c>
      <c r="M365" s="19">
        <f>IF(2026-M$3&gt;IF($D365="",2026,$D365),IF(M$3=12,0.1*$G365,""),IF(2026-M$4&lt;$C365,"",M$4*$G365))</f>
        <v>21000</v>
      </c>
      <c r="N365" s="19">
        <f>IF(2026-N$3&gt;IF($D365="",2026,$D365),IF(N$3=12,0.1*$G365,""),IF(2026-N$4&lt;$C365,"",N$4*$G365))</f>
        <v>24500.000000000004</v>
      </c>
      <c r="O365" s="19">
        <f>IF(2026-O$3&gt;IF($D365="",2026,$D365),IF(O$3=12,0.1*$G365,""),IF(2026-O$4&lt;$C365,"",O$4*$G365))</f>
        <v>29750.000000000004</v>
      </c>
      <c r="P365" s="19">
        <f>IF(2026-P$3&gt;IF($D365="",2026,$D365),IF(P$3=12,0.1*$G365,""),IF(2026-P$4&lt;$C365,"",P$4*$G365))</f>
        <v>34125</v>
      </c>
      <c r="Q365" s="19">
        <f>IF(2026-Q$3&gt;IF($D365="",2026,$D365),IF(Q$3=12,0.1*$G365,""),IF(2026-Q$4&lt;$C365,"",Q$4*$G365))</f>
        <v>41125</v>
      </c>
      <c r="R365" s="19">
        <f>IF(2026-R$3&gt;IF($D365="",2026,$D365),IF(R$3=12,0.1*$G365,""),IF(2026-R$4&lt;$C365,"",R$4*$G365))</f>
        <v>49000.000000000007</v>
      </c>
      <c r="S365" s="19">
        <f>IF(2026-S$3&gt;IF($D365="",2026,$D365),IF(S$3=12,0.1*$G365,""),IF(2026-S$4&lt;$C365,"",S$4*$G365))</f>
        <v>58625</v>
      </c>
      <c r="T365" s="19">
        <f>IF(2026-T$3&gt;IF($D365="",2026,$D365),IF(T$3=12,0.1*$G365,""),IF(2026-T$4&lt;$C365,"",T$4*$G365))</f>
        <v>73500</v>
      </c>
    </row>
    <row r="366" spans="1:20" s="18" customFormat="1" ht="12" customHeight="1" x14ac:dyDescent="0.2">
      <c r="A366" s="17"/>
      <c r="B366" s="16" t="s">
        <v>92</v>
      </c>
      <c r="C366" s="13">
        <v>2016</v>
      </c>
      <c r="D366" s="13"/>
      <c r="E366" s="13">
        <v>3956</v>
      </c>
      <c r="F366" s="13">
        <v>421</v>
      </c>
      <c r="G366" s="21">
        <v>109500</v>
      </c>
      <c r="H366" s="20"/>
      <c r="I366" s="19">
        <f>IF(2026-I$3&gt;IF($D366="",2026,$D366),IF(I$3=12,0.1*$G366,""),IF(2026-I$4&lt;$C366,"",I$4*$G366))</f>
        <v>10950</v>
      </c>
      <c r="J366" s="19">
        <f>IF(2026-J$3&gt;IF($D366="",2026,$D366),IF(J$3=12,0.1*$G366,""),IF(2026-J$4&lt;$C366,"",J$4*$G366))</f>
        <v>14235</v>
      </c>
      <c r="K366" s="19">
        <f>IF(2026-K$3&gt;IF($D366="",2026,$D366),IF(K$3=12,0.1*$G366,""),IF(2026-K$4&lt;$C366,"",K$4*$G366))</f>
        <v>18615</v>
      </c>
      <c r="L366" s="19">
        <f>IF(2026-L$3&gt;IF($D366="",2026,$D366),IF(L$3=12,0.1*$G366,""),IF(2026-L$4&lt;$C366,"",L$4*$G366))</f>
        <v>20805</v>
      </c>
      <c r="M366" s="19">
        <f>IF(2026-M$3&gt;IF($D366="",2026,$D366),IF(M$3=12,0.1*$G366,""),IF(2026-M$4&lt;$C366,"",M$4*$G366))</f>
        <v>26280</v>
      </c>
      <c r="N366" s="19">
        <f>IF(2026-N$3&gt;IF($D366="",2026,$D366),IF(N$3=12,0.1*$G366,""),IF(2026-N$4&lt;$C366,"",N$4*$G366))</f>
        <v>30660.000000000004</v>
      </c>
      <c r="O366" s="19">
        <f>IF(2026-O$3&gt;IF($D366="",2026,$D366),IF(O$3=12,0.1*$G366,""),IF(2026-O$4&lt;$C366,"",O$4*$G366))</f>
        <v>37230</v>
      </c>
      <c r="P366" s="19">
        <f>IF(2026-P$3&gt;IF($D366="",2026,$D366),IF(P$3=12,0.1*$G366,""),IF(2026-P$4&lt;$C366,"",P$4*$G366))</f>
        <v>42705</v>
      </c>
      <c r="Q366" s="19">
        <f>IF(2026-Q$3&gt;IF($D366="",2026,$D366),IF(Q$3=12,0.1*$G366,""),IF(2026-Q$4&lt;$C366,"",Q$4*$G366))</f>
        <v>51465</v>
      </c>
      <c r="R366" s="19">
        <f>IF(2026-R$3&gt;IF($D366="",2026,$D366),IF(R$3=12,0.1*$G366,""),IF(2026-R$4&lt;$C366,"",R$4*$G366))</f>
        <v>61320.000000000007</v>
      </c>
      <c r="S366" s="19">
        <f>IF(2026-S$3&gt;IF($D366="",2026,$D366),IF(S$3=12,0.1*$G366,""),IF(2026-S$4&lt;$C366,"",S$4*$G366))</f>
        <v>73365</v>
      </c>
      <c r="T366" s="19">
        <f>IF(2026-T$3&gt;IF($D366="",2026,$D366),IF(T$3=12,0.1*$G366,""),IF(2026-T$4&lt;$C366,"",T$4*$G366))</f>
        <v>91980</v>
      </c>
    </row>
    <row r="367" spans="1:20" s="18" customFormat="1" ht="12" customHeight="1" x14ac:dyDescent="0.2">
      <c r="A367" s="17"/>
      <c r="B367" s="16" t="s">
        <v>91</v>
      </c>
      <c r="C367" s="13">
        <v>2016</v>
      </c>
      <c r="D367" s="13"/>
      <c r="E367" s="13">
        <v>3956</v>
      </c>
      <c r="F367" s="13">
        <v>422</v>
      </c>
      <c r="G367" s="21">
        <v>107700</v>
      </c>
      <c r="H367" s="20"/>
      <c r="I367" s="19">
        <f>IF(2026-I$3&gt;IF($D367="",2026,$D367),IF(I$3=12,0.1*$G367,""),IF(2026-I$4&lt;$C367,"",I$4*$G367))</f>
        <v>10770</v>
      </c>
      <c r="J367" s="19">
        <f>IF(2026-J$3&gt;IF($D367="",2026,$D367),IF(J$3=12,0.1*$G367,""),IF(2026-J$4&lt;$C367,"",J$4*$G367))</f>
        <v>14001</v>
      </c>
      <c r="K367" s="19">
        <f>IF(2026-K$3&gt;IF($D367="",2026,$D367),IF(K$3=12,0.1*$G367,""),IF(2026-K$4&lt;$C367,"",K$4*$G367))</f>
        <v>18309</v>
      </c>
      <c r="L367" s="19">
        <f>IF(2026-L$3&gt;IF($D367="",2026,$D367),IF(L$3=12,0.1*$G367,""),IF(2026-L$4&lt;$C367,"",L$4*$G367))</f>
        <v>20463</v>
      </c>
      <c r="M367" s="19">
        <f>IF(2026-M$3&gt;IF($D367="",2026,$D367),IF(M$3=12,0.1*$G367,""),IF(2026-M$4&lt;$C367,"",M$4*$G367))</f>
        <v>25848</v>
      </c>
      <c r="N367" s="19">
        <f>IF(2026-N$3&gt;IF($D367="",2026,$D367),IF(N$3=12,0.1*$G367,""),IF(2026-N$4&lt;$C367,"",N$4*$G367))</f>
        <v>30156.000000000004</v>
      </c>
      <c r="O367" s="19">
        <f>IF(2026-O$3&gt;IF($D367="",2026,$D367),IF(O$3=12,0.1*$G367,""),IF(2026-O$4&lt;$C367,"",O$4*$G367))</f>
        <v>36618</v>
      </c>
      <c r="P367" s="19">
        <f>IF(2026-P$3&gt;IF($D367="",2026,$D367),IF(P$3=12,0.1*$G367,""),IF(2026-P$4&lt;$C367,"",P$4*$G367))</f>
        <v>42003</v>
      </c>
      <c r="Q367" s="19">
        <f>IF(2026-Q$3&gt;IF($D367="",2026,$D367),IF(Q$3=12,0.1*$G367,""),IF(2026-Q$4&lt;$C367,"",Q$4*$G367))</f>
        <v>50619</v>
      </c>
      <c r="R367" s="19">
        <f>IF(2026-R$3&gt;IF($D367="",2026,$D367),IF(R$3=12,0.1*$G367,""),IF(2026-R$4&lt;$C367,"",R$4*$G367))</f>
        <v>60312.000000000007</v>
      </c>
      <c r="S367" s="19">
        <f>IF(2026-S$3&gt;IF($D367="",2026,$D367),IF(S$3=12,0.1*$G367,""),IF(2026-S$4&lt;$C367,"",S$4*$G367))</f>
        <v>72159</v>
      </c>
      <c r="T367" s="19">
        <f>IF(2026-T$3&gt;IF($D367="",2026,$D367),IF(T$3=12,0.1*$G367,""),IF(2026-T$4&lt;$C367,"",T$4*$G367))</f>
        <v>90468</v>
      </c>
    </row>
    <row r="368" spans="1:20" s="18" customFormat="1" ht="12" customHeight="1" x14ac:dyDescent="0.2">
      <c r="A368" s="17"/>
      <c r="B368" s="16" t="s">
        <v>90</v>
      </c>
      <c r="C368" s="13">
        <v>2016</v>
      </c>
      <c r="D368" s="13"/>
      <c r="E368" s="13">
        <v>2894</v>
      </c>
      <c r="F368" s="13">
        <v>440</v>
      </c>
      <c r="G368" s="21">
        <v>108200</v>
      </c>
      <c r="H368" s="20"/>
      <c r="I368" s="19">
        <f>IF(2026-I$3&gt;IF($D368="",2026,$D368),IF(I$3=12,0.1*$G368,""),IF(2026-I$4&lt;$C368,"",I$4*$G368))</f>
        <v>10820</v>
      </c>
      <c r="J368" s="19">
        <f>IF(2026-J$3&gt;IF($D368="",2026,$D368),IF(J$3=12,0.1*$G368,""),IF(2026-J$4&lt;$C368,"",J$4*$G368))</f>
        <v>14066</v>
      </c>
      <c r="K368" s="19">
        <f>IF(2026-K$3&gt;IF($D368="",2026,$D368),IF(K$3=12,0.1*$G368,""),IF(2026-K$4&lt;$C368,"",K$4*$G368))</f>
        <v>18394</v>
      </c>
      <c r="L368" s="19">
        <f>IF(2026-L$3&gt;IF($D368="",2026,$D368),IF(L$3=12,0.1*$G368,""),IF(2026-L$4&lt;$C368,"",L$4*$G368))</f>
        <v>20558</v>
      </c>
      <c r="M368" s="19">
        <f>IF(2026-M$3&gt;IF($D368="",2026,$D368),IF(M$3=12,0.1*$G368,""),IF(2026-M$4&lt;$C368,"",M$4*$G368))</f>
        <v>25968</v>
      </c>
      <c r="N368" s="19">
        <f>IF(2026-N$3&gt;IF($D368="",2026,$D368),IF(N$3=12,0.1*$G368,""),IF(2026-N$4&lt;$C368,"",N$4*$G368))</f>
        <v>30296.000000000004</v>
      </c>
      <c r="O368" s="19">
        <f>IF(2026-O$3&gt;IF($D368="",2026,$D368),IF(O$3=12,0.1*$G368,""),IF(2026-O$4&lt;$C368,"",O$4*$G368))</f>
        <v>36788</v>
      </c>
      <c r="P368" s="19">
        <f>IF(2026-P$3&gt;IF($D368="",2026,$D368),IF(P$3=12,0.1*$G368,""),IF(2026-P$4&lt;$C368,"",P$4*$G368))</f>
        <v>42198</v>
      </c>
      <c r="Q368" s="19">
        <f>IF(2026-Q$3&gt;IF($D368="",2026,$D368),IF(Q$3=12,0.1*$G368,""),IF(2026-Q$4&lt;$C368,"",Q$4*$G368))</f>
        <v>50854</v>
      </c>
      <c r="R368" s="19">
        <f>IF(2026-R$3&gt;IF($D368="",2026,$D368),IF(R$3=12,0.1*$G368,""),IF(2026-R$4&lt;$C368,"",R$4*$G368))</f>
        <v>60592.000000000007</v>
      </c>
      <c r="S368" s="19">
        <f>IF(2026-S$3&gt;IF($D368="",2026,$D368),IF(S$3=12,0.1*$G368,""),IF(2026-S$4&lt;$C368,"",S$4*$G368))</f>
        <v>72494</v>
      </c>
      <c r="T368" s="19">
        <f>IF(2026-T$3&gt;IF($D368="",2026,$D368),IF(T$3=12,0.1*$G368,""),IF(2026-T$4&lt;$C368,"",T$4*$G368))</f>
        <v>90888</v>
      </c>
    </row>
    <row r="369" spans="1:20" s="18" customFormat="1" ht="12" customHeight="1" x14ac:dyDescent="0.2">
      <c r="A369" s="17"/>
      <c r="B369" s="16" t="s">
        <v>89</v>
      </c>
      <c r="C369" s="13">
        <v>2016</v>
      </c>
      <c r="D369" s="13"/>
      <c r="E369" s="13">
        <v>2894</v>
      </c>
      <c r="F369" s="13">
        <v>440</v>
      </c>
      <c r="G369" s="21">
        <v>121200</v>
      </c>
      <c r="H369" s="20"/>
      <c r="I369" s="19">
        <f>IF(2026-I$3&gt;IF($D369="",2026,$D369),IF(I$3=12,0.1*$G369,""),IF(2026-I$4&lt;$C369,"",I$4*$G369))</f>
        <v>12120</v>
      </c>
      <c r="J369" s="19">
        <f>IF(2026-J$3&gt;IF($D369="",2026,$D369),IF(J$3=12,0.1*$G369,""),IF(2026-J$4&lt;$C369,"",J$4*$G369))</f>
        <v>15756</v>
      </c>
      <c r="K369" s="19">
        <f>IF(2026-K$3&gt;IF($D369="",2026,$D369),IF(K$3=12,0.1*$G369,""),IF(2026-K$4&lt;$C369,"",K$4*$G369))</f>
        <v>20604</v>
      </c>
      <c r="L369" s="19">
        <f>IF(2026-L$3&gt;IF($D369="",2026,$D369),IF(L$3=12,0.1*$G369,""),IF(2026-L$4&lt;$C369,"",L$4*$G369))</f>
        <v>23028</v>
      </c>
      <c r="M369" s="19">
        <f>IF(2026-M$3&gt;IF($D369="",2026,$D369),IF(M$3=12,0.1*$G369,""),IF(2026-M$4&lt;$C369,"",M$4*$G369))</f>
        <v>29088</v>
      </c>
      <c r="N369" s="19">
        <f>IF(2026-N$3&gt;IF($D369="",2026,$D369),IF(N$3=12,0.1*$G369,""),IF(2026-N$4&lt;$C369,"",N$4*$G369))</f>
        <v>33936</v>
      </c>
      <c r="O369" s="19">
        <f>IF(2026-O$3&gt;IF($D369="",2026,$D369),IF(O$3=12,0.1*$G369,""),IF(2026-O$4&lt;$C369,"",O$4*$G369))</f>
        <v>41208</v>
      </c>
      <c r="P369" s="19">
        <f>IF(2026-P$3&gt;IF($D369="",2026,$D369),IF(P$3=12,0.1*$G369,""),IF(2026-P$4&lt;$C369,"",P$4*$G369))</f>
        <v>47268</v>
      </c>
      <c r="Q369" s="19">
        <f>IF(2026-Q$3&gt;IF($D369="",2026,$D369),IF(Q$3=12,0.1*$G369,""),IF(2026-Q$4&lt;$C369,"",Q$4*$G369))</f>
        <v>56964</v>
      </c>
      <c r="R369" s="19">
        <f>IF(2026-R$3&gt;IF($D369="",2026,$D369),IF(R$3=12,0.1*$G369,""),IF(2026-R$4&lt;$C369,"",R$4*$G369))</f>
        <v>67872</v>
      </c>
      <c r="S369" s="19">
        <f>IF(2026-S$3&gt;IF($D369="",2026,$D369),IF(S$3=12,0.1*$G369,""),IF(2026-S$4&lt;$C369,"",S$4*$G369))</f>
        <v>81204</v>
      </c>
      <c r="T369" s="19">
        <f>IF(2026-T$3&gt;IF($D369="",2026,$D369),IF(T$3=12,0.1*$G369,""),IF(2026-T$4&lt;$C369,"",T$4*$G369))</f>
        <v>101808</v>
      </c>
    </row>
    <row r="370" spans="1:20" s="18" customFormat="1" ht="12" customHeight="1" x14ac:dyDescent="0.2">
      <c r="A370" s="17"/>
      <c r="B370" s="16" t="s">
        <v>88</v>
      </c>
      <c r="C370" s="13">
        <v>2016</v>
      </c>
      <c r="D370" s="13"/>
      <c r="E370" s="13">
        <v>2894</v>
      </c>
      <c r="F370" s="13">
        <v>441</v>
      </c>
      <c r="G370" s="21">
        <v>110100</v>
      </c>
      <c r="H370" s="20"/>
      <c r="I370" s="19">
        <f>IF(2026-I$3&gt;IF($D370="",2026,$D370),IF(I$3=12,0.1*$G370,""),IF(2026-I$4&lt;$C370,"",I$4*$G370))</f>
        <v>11010</v>
      </c>
      <c r="J370" s="19">
        <f>IF(2026-J$3&gt;IF($D370="",2026,$D370),IF(J$3=12,0.1*$G370,""),IF(2026-J$4&lt;$C370,"",J$4*$G370))</f>
        <v>14313</v>
      </c>
      <c r="K370" s="19">
        <f>IF(2026-K$3&gt;IF($D370="",2026,$D370),IF(K$3=12,0.1*$G370,""),IF(2026-K$4&lt;$C370,"",K$4*$G370))</f>
        <v>18717</v>
      </c>
      <c r="L370" s="19">
        <f>IF(2026-L$3&gt;IF($D370="",2026,$D370),IF(L$3=12,0.1*$G370,""),IF(2026-L$4&lt;$C370,"",L$4*$G370))</f>
        <v>20919</v>
      </c>
      <c r="M370" s="19">
        <f>IF(2026-M$3&gt;IF($D370="",2026,$D370),IF(M$3=12,0.1*$G370,""),IF(2026-M$4&lt;$C370,"",M$4*$G370))</f>
        <v>26424</v>
      </c>
      <c r="N370" s="19">
        <f>IF(2026-N$3&gt;IF($D370="",2026,$D370),IF(N$3=12,0.1*$G370,""),IF(2026-N$4&lt;$C370,"",N$4*$G370))</f>
        <v>30828.000000000004</v>
      </c>
      <c r="O370" s="19">
        <f>IF(2026-O$3&gt;IF($D370="",2026,$D370),IF(O$3=12,0.1*$G370,""),IF(2026-O$4&lt;$C370,"",O$4*$G370))</f>
        <v>37434</v>
      </c>
      <c r="P370" s="19">
        <f>IF(2026-P$3&gt;IF($D370="",2026,$D370),IF(P$3=12,0.1*$G370,""),IF(2026-P$4&lt;$C370,"",P$4*$G370))</f>
        <v>42939</v>
      </c>
      <c r="Q370" s="19">
        <f>IF(2026-Q$3&gt;IF($D370="",2026,$D370),IF(Q$3=12,0.1*$G370,""),IF(2026-Q$4&lt;$C370,"",Q$4*$G370))</f>
        <v>51747</v>
      </c>
      <c r="R370" s="19">
        <f>IF(2026-R$3&gt;IF($D370="",2026,$D370),IF(R$3=12,0.1*$G370,""),IF(2026-R$4&lt;$C370,"",R$4*$G370))</f>
        <v>61656.000000000007</v>
      </c>
      <c r="S370" s="19">
        <f>IF(2026-S$3&gt;IF($D370="",2026,$D370),IF(S$3=12,0.1*$G370,""),IF(2026-S$4&lt;$C370,"",S$4*$G370))</f>
        <v>73767</v>
      </c>
      <c r="T370" s="19">
        <f>IF(2026-T$3&gt;IF($D370="",2026,$D370),IF(T$3=12,0.1*$G370,""),IF(2026-T$4&lt;$C370,"",T$4*$G370))</f>
        <v>92484</v>
      </c>
    </row>
    <row r="371" spans="1:20" s="18" customFormat="1" ht="12" customHeight="1" x14ac:dyDescent="0.2">
      <c r="A371" s="17"/>
      <c r="B371" s="16" t="s">
        <v>87</v>
      </c>
      <c r="C371" s="13">
        <v>2016</v>
      </c>
      <c r="D371" s="13"/>
      <c r="E371" s="13">
        <v>2894</v>
      </c>
      <c r="F371" s="13">
        <v>462</v>
      </c>
      <c r="G371" s="21">
        <v>95100</v>
      </c>
      <c r="H371" s="20"/>
      <c r="I371" s="19">
        <f>IF(2026-I$3&gt;IF($D371="",2026,$D371),IF(I$3=12,0.1*$G371,""),IF(2026-I$4&lt;$C371,"",I$4*$G371))</f>
        <v>9510</v>
      </c>
      <c r="J371" s="19">
        <f>IF(2026-J$3&gt;IF($D371="",2026,$D371),IF(J$3=12,0.1*$G371,""),IF(2026-J$4&lt;$C371,"",J$4*$G371))</f>
        <v>12363</v>
      </c>
      <c r="K371" s="19">
        <f>IF(2026-K$3&gt;IF($D371="",2026,$D371),IF(K$3=12,0.1*$G371,""),IF(2026-K$4&lt;$C371,"",K$4*$G371))</f>
        <v>16167.000000000002</v>
      </c>
      <c r="L371" s="19">
        <f>IF(2026-L$3&gt;IF($D371="",2026,$D371),IF(L$3=12,0.1*$G371,""),IF(2026-L$4&lt;$C371,"",L$4*$G371))</f>
        <v>18069</v>
      </c>
      <c r="M371" s="19">
        <f>IF(2026-M$3&gt;IF($D371="",2026,$D371),IF(M$3=12,0.1*$G371,""),IF(2026-M$4&lt;$C371,"",M$4*$G371))</f>
        <v>22824</v>
      </c>
      <c r="N371" s="19">
        <f>IF(2026-N$3&gt;IF($D371="",2026,$D371),IF(N$3=12,0.1*$G371,""),IF(2026-N$4&lt;$C371,"",N$4*$G371))</f>
        <v>26628.000000000004</v>
      </c>
      <c r="O371" s="19">
        <f>IF(2026-O$3&gt;IF($D371="",2026,$D371),IF(O$3=12,0.1*$G371,""),IF(2026-O$4&lt;$C371,"",O$4*$G371))</f>
        <v>32334.000000000004</v>
      </c>
      <c r="P371" s="19">
        <f>IF(2026-P$3&gt;IF($D371="",2026,$D371),IF(P$3=12,0.1*$G371,""),IF(2026-P$4&lt;$C371,"",P$4*$G371))</f>
        <v>37089</v>
      </c>
      <c r="Q371" s="19">
        <f>IF(2026-Q$3&gt;IF($D371="",2026,$D371),IF(Q$3=12,0.1*$G371,""),IF(2026-Q$4&lt;$C371,"",Q$4*$G371))</f>
        <v>44697</v>
      </c>
      <c r="R371" s="19">
        <f>IF(2026-R$3&gt;IF($D371="",2026,$D371),IF(R$3=12,0.1*$G371,""),IF(2026-R$4&lt;$C371,"",R$4*$G371))</f>
        <v>53256.000000000007</v>
      </c>
      <c r="S371" s="19">
        <f>IF(2026-S$3&gt;IF($D371="",2026,$D371),IF(S$3=12,0.1*$G371,""),IF(2026-S$4&lt;$C371,"",S$4*$G371))</f>
        <v>63717.000000000007</v>
      </c>
      <c r="T371" s="19">
        <f>IF(2026-T$3&gt;IF($D371="",2026,$D371),IF(T$3=12,0.1*$G371,""),IF(2026-T$4&lt;$C371,"",T$4*$G371))</f>
        <v>79884</v>
      </c>
    </row>
    <row r="372" spans="1:20" s="18" customFormat="1" ht="12" customHeight="1" x14ac:dyDescent="0.2">
      <c r="A372" s="17"/>
      <c r="B372" s="16" t="s">
        <v>86</v>
      </c>
      <c r="C372" s="13">
        <v>2016</v>
      </c>
      <c r="D372" s="13"/>
      <c r="E372" s="13">
        <v>2894</v>
      </c>
      <c r="F372" s="13">
        <v>462</v>
      </c>
      <c r="G372" s="21">
        <v>101600</v>
      </c>
      <c r="H372" s="20"/>
      <c r="I372" s="19">
        <f>IF(2026-I$3&gt;IF($D372="",2026,$D372),IF(I$3=12,0.1*$G372,""),IF(2026-I$4&lt;$C372,"",I$4*$G372))</f>
        <v>10160</v>
      </c>
      <c r="J372" s="19">
        <f>IF(2026-J$3&gt;IF($D372="",2026,$D372),IF(J$3=12,0.1*$G372,""),IF(2026-J$4&lt;$C372,"",J$4*$G372))</f>
        <v>13208</v>
      </c>
      <c r="K372" s="19">
        <f>IF(2026-K$3&gt;IF($D372="",2026,$D372),IF(K$3=12,0.1*$G372,""),IF(2026-K$4&lt;$C372,"",K$4*$G372))</f>
        <v>17272</v>
      </c>
      <c r="L372" s="19">
        <f>IF(2026-L$3&gt;IF($D372="",2026,$D372),IF(L$3=12,0.1*$G372,""),IF(2026-L$4&lt;$C372,"",L$4*$G372))</f>
        <v>19304</v>
      </c>
      <c r="M372" s="19">
        <f>IF(2026-M$3&gt;IF($D372="",2026,$D372),IF(M$3=12,0.1*$G372,""),IF(2026-M$4&lt;$C372,"",M$4*$G372))</f>
        <v>24384</v>
      </c>
      <c r="N372" s="19">
        <f>IF(2026-N$3&gt;IF($D372="",2026,$D372),IF(N$3=12,0.1*$G372,""),IF(2026-N$4&lt;$C372,"",N$4*$G372))</f>
        <v>28448.000000000004</v>
      </c>
      <c r="O372" s="19">
        <f>IF(2026-O$3&gt;IF($D372="",2026,$D372),IF(O$3=12,0.1*$G372,""),IF(2026-O$4&lt;$C372,"",O$4*$G372))</f>
        <v>34544</v>
      </c>
      <c r="P372" s="19">
        <f>IF(2026-P$3&gt;IF($D372="",2026,$D372),IF(P$3=12,0.1*$G372,""),IF(2026-P$4&lt;$C372,"",P$4*$G372))</f>
        <v>39624</v>
      </c>
      <c r="Q372" s="19">
        <f>IF(2026-Q$3&gt;IF($D372="",2026,$D372),IF(Q$3=12,0.1*$G372,""),IF(2026-Q$4&lt;$C372,"",Q$4*$G372))</f>
        <v>47752</v>
      </c>
      <c r="R372" s="19">
        <f>IF(2026-R$3&gt;IF($D372="",2026,$D372),IF(R$3=12,0.1*$G372,""),IF(2026-R$4&lt;$C372,"",R$4*$G372))</f>
        <v>56896.000000000007</v>
      </c>
      <c r="S372" s="19">
        <f>IF(2026-S$3&gt;IF($D372="",2026,$D372),IF(S$3=12,0.1*$G372,""),IF(2026-S$4&lt;$C372,"",S$4*$G372))</f>
        <v>68072</v>
      </c>
      <c r="T372" s="19">
        <f>IF(2026-T$3&gt;IF($D372="",2026,$D372),IF(T$3=12,0.1*$G372,""),IF(2026-T$4&lt;$C372,"",T$4*$G372))</f>
        <v>85344</v>
      </c>
    </row>
    <row r="373" spans="1:20" s="18" customFormat="1" ht="12" customHeight="1" x14ac:dyDescent="0.2">
      <c r="A373" s="17"/>
      <c r="B373" s="16" t="s">
        <v>85</v>
      </c>
      <c r="C373" s="13">
        <v>2016</v>
      </c>
      <c r="D373" s="13"/>
      <c r="E373" s="13">
        <v>3996</v>
      </c>
      <c r="F373" s="13">
        <v>550</v>
      </c>
      <c r="G373" s="21">
        <v>151400</v>
      </c>
      <c r="H373" s="20"/>
      <c r="I373" s="19">
        <f>IF(2026-I$3&gt;IF($D373="",2026,$D373),IF(I$3=12,0.1*$G373,""),IF(2026-I$4&lt;$C373,"",I$4*$G373))</f>
        <v>15140</v>
      </c>
      <c r="J373" s="19">
        <f>IF(2026-J$3&gt;IF($D373="",2026,$D373),IF(J$3=12,0.1*$G373,""),IF(2026-J$4&lt;$C373,"",J$4*$G373))</f>
        <v>19682</v>
      </c>
      <c r="K373" s="19">
        <f>IF(2026-K$3&gt;IF($D373="",2026,$D373),IF(K$3=12,0.1*$G373,""),IF(2026-K$4&lt;$C373,"",K$4*$G373))</f>
        <v>25738.000000000004</v>
      </c>
      <c r="L373" s="19">
        <f>IF(2026-L$3&gt;IF($D373="",2026,$D373),IF(L$3=12,0.1*$G373,""),IF(2026-L$4&lt;$C373,"",L$4*$G373))</f>
        <v>28766</v>
      </c>
      <c r="M373" s="19">
        <f>IF(2026-M$3&gt;IF($D373="",2026,$D373),IF(M$3=12,0.1*$G373,""),IF(2026-M$4&lt;$C373,"",M$4*$G373))</f>
        <v>36336</v>
      </c>
      <c r="N373" s="19">
        <f>IF(2026-N$3&gt;IF($D373="",2026,$D373),IF(N$3=12,0.1*$G373,""),IF(2026-N$4&lt;$C373,"",N$4*$G373))</f>
        <v>42392.000000000007</v>
      </c>
      <c r="O373" s="19">
        <f>IF(2026-O$3&gt;IF($D373="",2026,$D373),IF(O$3=12,0.1*$G373,""),IF(2026-O$4&lt;$C373,"",O$4*$G373))</f>
        <v>51476.000000000007</v>
      </c>
      <c r="P373" s="19">
        <f>IF(2026-P$3&gt;IF($D373="",2026,$D373),IF(P$3=12,0.1*$G373,""),IF(2026-P$4&lt;$C373,"",P$4*$G373))</f>
        <v>59046</v>
      </c>
      <c r="Q373" s="19">
        <f>IF(2026-Q$3&gt;IF($D373="",2026,$D373),IF(Q$3=12,0.1*$G373,""),IF(2026-Q$4&lt;$C373,"",Q$4*$G373))</f>
        <v>71158</v>
      </c>
      <c r="R373" s="19">
        <f>IF(2026-R$3&gt;IF($D373="",2026,$D373),IF(R$3=12,0.1*$G373,""),IF(2026-R$4&lt;$C373,"",R$4*$G373))</f>
        <v>84784.000000000015</v>
      </c>
      <c r="S373" s="19">
        <f>IF(2026-S$3&gt;IF($D373="",2026,$D373),IF(S$3=12,0.1*$G373,""),IF(2026-S$4&lt;$C373,"",S$4*$G373))</f>
        <v>101438</v>
      </c>
      <c r="T373" s="19">
        <f>IF(2026-T$3&gt;IF($D373="",2026,$D373),IF(T$3=12,0.1*$G373,""),IF(2026-T$4&lt;$C373,"",T$4*$G373))</f>
        <v>127176</v>
      </c>
    </row>
    <row r="374" spans="1:20" s="18" customFormat="1" ht="12" customHeight="1" x14ac:dyDescent="0.2">
      <c r="A374" s="17"/>
      <c r="B374" s="16" t="s">
        <v>84</v>
      </c>
      <c r="C374" s="13">
        <v>2016</v>
      </c>
      <c r="D374" s="13"/>
      <c r="E374" s="13">
        <v>3996</v>
      </c>
      <c r="F374" s="13">
        <v>550</v>
      </c>
      <c r="G374" s="21">
        <v>164500</v>
      </c>
      <c r="H374" s="20"/>
      <c r="I374" s="19">
        <f>IF(2026-I$3&gt;IF($D374="",2026,$D374),IF(I$3=12,0.1*$G374,""),IF(2026-I$4&lt;$C374,"",I$4*$G374))</f>
        <v>16450</v>
      </c>
      <c r="J374" s="19">
        <f>IF(2026-J$3&gt;IF($D374="",2026,$D374),IF(J$3=12,0.1*$G374,""),IF(2026-J$4&lt;$C374,"",J$4*$G374))</f>
        <v>21385</v>
      </c>
      <c r="K374" s="19">
        <f>IF(2026-K$3&gt;IF($D374="",2026,$D374),IF(K$3=12,0.1*$G374,""),IF(2026-K$4&lt;$C374,"",K$4*$G374))</f>
        <v>27965.000000000004</v>
      </c>
      <c r="L374" s="19">
        <f>IF(2026-L$3&gt;IF($D374="",2026,$D374),IF(L$3=12,0.1*$G374,""),IF(2026-L$4&lt;$C374,"",L$4*$G374))</f>
        <v>31255</v>
      </c>
      <c r="M374" s="19">
        <f>IF(2026-M$3&gt;IF($D374="",2026,$D374),IF(M$3=12,0.1*$G374,""),IF(2026-M$4&lt;$C374,"",M$4*$G374))</f>
        <v>39480</v>
      </c>
      <c r="N374" s="19">
        <f>IF(2026-N$3&gt;IF($D374="",2026,$D374),IF(N$3=12,0.1*$G374,""),IF(2026-N$4&lt;$C374,"",N$4*$G374))</f>
        <v>46060.000000000007</v>
      </c>
      <c r="O374" s="19">
        <f>IF(2026-O$3&gt;IF($D374="",2026,$D374),IF(O$3=12,0.1*$G374,""),IF(2026-O$4&lt;$C374,"",O$4*$G374))</f>
        <v>55930.000000000007</v>
      </c>
      <c r="P374" s="19">
        <f>IF(2026-P$3&gt;IF($D374="",2026,$D374),IF(P$3=12,0.1*$G374,""),IF(2026-P$4&lt;$C374,"",P$4*$G374))</f>
        <v>64155</v>
      </c>
      <c r="Q374" s="19">
        <f>IF(2026-Q$3&gt;IF($D374="",2026,$D374),IF(Q$3=12,0.1*$G374,""),IF(2026-Q$4&lt;$C374,"",Q$4*$G374))</f>
        <v>77315</v>
      </c>
      <c r="R374" s="19">
        <f>IF(2026-R$3&gt;IF($D374="",2026,$D374),IF(R$3=12,0.1*$G374,""),IF(2026-R$4&lt;$C374,"",R$4*$G374))</f>
        <v>92120.000000000015</v>
      </c>
      <c r="S374" s="19">
        <f>IF(2026-S$3&gt;IF($D374="",2026,$D374),IF(S$3=12,0.1*$G374,""),IF(2026-S$4&lt;$C374,"",S$4*$G374))</f>
        <v>110215</v>
      </c>
      <c r="T374" s="19">
        <f>IF(2026-T$3&gt;IF($D374="",2026,$D374),IF(T$3=12,0.1*$G374,""),IF(2026-T$4&lt;$C374,"",T$4*$G374))</f>
        <v>138180</v>
      </c>
    </row>
    <row r="375" spans="1:20" s="18" customFormat="1" ht="12" customHeight="1" x14ac:dyDescent="0.2">
      <c r="A375" s="17"/>
      <c r="B375" s="16" t="s">
        <v>83</v>
      </c>
      <c r="C375" s="13">
        <v>2017</v>
      </c>
      <c r="D375" s="13"/>
      <c r="E375" s="13">
        <v>2995</v>
      </c>
      <c r="F375" s="13">
        <v>330</v>
      </c>
      <c r="G375" s="21">
        <v>93400</v>
      </c>
      <c r="H375" s="20"/>
      <c r="I375" s="19">
        <f>IF(2026-I$3&gt;IF($D375="",2026,$D375),IF(I$3=12,0.1*$G375,""),IF(2026-I$4&lt;$C375,"",I$4*$G375))</f>
        <v>9340</v>
      </c>
      <c r="J375" s="19">
        <f>IF(2026-J$3&gt;IF($D375="",2026,$D375),IF(J$3=12,0.1*$G375,""),IF(2026-J$4&lt;$C375,"",J$4*$G375))</f>
        <v>12142</v>
      </c>
      <c r="K375" s="19">
        <f>IF(2026-K$3&gt;IF($D375="",2026,$D375),IF(K$3=12,0.1*$G375,""),IF(2026-K$4&lt;$C375,"",K$4*$G375))</f>
        <v>15878.000000000002</v>
      </c>
      <c r="L375" s="19">
        <f>IF(2026-L$3&gt;IF($D375="",2026,$D375),IF(L$3=12,0.1*$G375,""),IF(2026-L$4&lt;$C375,"",L$4*$G375))</f>
        <v>17746</v>
      </c>
      <c r="M375" s="19">
        <f>IF(2026-M$3&gt;IF($D375="",2026,$D375),IF(M$3=12,0.1*$G375,""),IF(2026-M$4&lt;$C375,"",M$4*$G375))</f>
        <v>22416</v>
      </c>
      <c r="N375" s="19">
        <f>IF(2026-N$3&gt;IF($D375="",2026,$D375),IF(N$3=12,0.1*$G375,""),IF(2026-N$4&lt;$C375,"",N$4*$G375))</f>
        <v>26152.000000000004</v>
      </c>
      <c r="O375" s="19">
        <f>IF(2026-O$3&gt;IF($D375="",2026,$D375),IF(O$3=12,0.1*$G375,""),IF(2026-O$4&lt;$C375,"",O$4*$G375))</f>
        <v>31756.000000000004</v>
      </c>
      <c r="P375" s="19">
        <f>IF(2026-P$3&gt;IF($D375="",2026,$D375),IF(P$3=12,0.1*$G375,""),IF(2026-P$4&lt;$C375,"",P$4*$G375))</f>
        <v>36426</v>
      </c>
      <c r="Q375" s="19">
        <f>IF(2026-Q$3&gt;IF($D375="",2026,$D375),IF(Q$3=12,0.1*$G375,""),IF(2026-Q$4&lt;$C375,"",Q$4*$G375))</f>
        <v>43898</v>
      </c>
      <c r="R375" s="19">
        <f>IF(2026-R$3&gt;IF($D375="",2026,$D375),IF(R$3=12,0.1*$G375,""),IF(2026-R$4&lt;$C375,"",R$4*$G375))</f>
        <v>52304.000000000007</v>
      </c>
      <c r="S375" s="19">
        <f>IF(2026-S$3&gt;IF($D375="",2026,$D375),IF(S$3=12,0.1*$G375,""),IF(2026-S$4&lt;$C375,"",S$4*$G375))</f>
        <v>62578.000000000007</v>
      </c>
      <c r="T375" s="19">
        <f>IF(2026-T$3&gt;IF($D375="",2026,$D375),IF(T$3=12,0.1*$G375,""),IF(2026-T$4&lt;$C375,"",T$4*$G375))</f>
        <v>78456</v>
      </c>
    </row>
    <row r="376" spans="1:20" s="18" customFormat="1" ht="12" customHeight="1" x14ac:dyDescent="0.2">
      <c r="A376" s="17"/>
      <c r="B376" s="16" t="s">
        <v>82</v>
      </c>
      <c r="C376" s="13">
        <v>2017</v>
      </c>
      <c r="D376" s="13"/>
      <c r="E376" s="13">
        <v>3956</v>
      </c>
      <c r="F376" s="13">
        <v>421</v>
      </c>
      <c r="G376" s="21">
        <v>113700</v>
      </c>
      <c r="H376" s="20"/>
      <c r="I376" s="19">
        <f>IF(2026-I$3&gt;IF($D376="",2026,$D376),IF(I$3=12,0.1*$G376,""),IF(2026-I$4&lt;$C376,"",I$4*$G376))</f>
        <v>11370</v>
      </c>
      <c r="J376" s="19">
        <f>IF(2026-J$3&gt;IF($D376="",2026,$D376),IF(J$3=12,0.1*$G376,""),IF(2026-J$4&lt;$C376,"",J$4*$G376))</f>
        <v>14781</v>
      </c>
      <c r="K376" s="19">
        <f>IF(2026-K$3&gt;IF($D376="",2026,$D376),IF(K$3=12,0.1*$G376,""),IF(2026-K$4&lt;$C376,"",K$4*$G376))</f>
        <v>19329</v>
      </c>
      <c r="L376" s="19">
        <f>IF(2026-L$3&gt;IF($D376="",2026,$D376),IF(L$3=12,0.1*$G376,""),IF(2026-L$4&lt;$C376,"",L$4*$G376))</f>
        <v>21603</v>
      </c>
      <c r="M376" s="19">
        <f>IF(2026-M$3&gt;IF($D376="",2026,$D376),IF(M$3=12,0.1*$G376,""),IF(2026-M$4&lt;$C376,"",M$4*$G376))</f>
        <v>27288</v>
      </c>
      <c r="N376" s="19">
        <f>IF(2026-N$3&gt;IF($D376="",2026,$D376),IF(N$3=12,0.1*$G376,""),IF(2026-N$4&lt;$C376,"",N$4*$G376))</f>
        <v>31836.000000000004</v>
      </c>
      <c r="O376" s="19">
        <f>IF(2026-O$3&gt;IF($D376="",2026,$D376),IF(O$3=12,0.1*$G376,""),IF(2026-O$4&lt;$C376,"",O$4*$G376))</f>
        <v>38658</v>
      </c>
      <c r="P376" s="19">
        <f>IF(2026-P$3&gt;IF($D376="",2026,$D376),IF(P$3=12,0.1*$G376,""),IF(2026-P$4&lt;$C376,"",P$4*$G376))</f>
        <v>44343</v>
      </c>
      <c r="Q376" s="19">
        <f>IF(2026-Q$3&gt;IF($D376="",2026,$D376),IF(Q$3=12,0.1*$G376,""),IF(2026-Q$4&lt;$C376,"",Q$4*$G376))</f>
        <v>53439</v>
      </c>
      <c r="R376" s="19">
        <f>IF(2026-R$3&gt;IF($D376="",2026,$D376),IF(R$3=12,0.1*$G376,""),IF(2026-R$4&lt;$C376,"",R$4*$G376))</f>
        <v>63672.000000000007</v>
      </c>
      <c r="S376" s="19">
        <f>IF(2026-S$3&gt;IF($D376="",2026,$D376),IF(S$3=12,0.1*$G376,""),IF(2026-S$4&lt;$C376,"",S$4*$G376))</f>
        <v>76179</v>
      </c>
      <c r="T376" s="19">
        <f>IF(2026-T$3&gt;IF($D376="",2026,$D376),IF(T$3=12,0.1*$G376,""),IF(2026-T$4&lt;$C376,"",T$4*$G376))</f>
        <v>95508</v>
      </c>
    </row>
    <row r="377" spans="1:20" s="18" customFormat="1" ht="12" customHeight="1" x14ac:dyDescent="0.2">
      <c r="A377" s="17"/>
      <c r="B377" s="16" t="s">
        <v>81</v>
      </c>
      <c r="C377" s="13">
        <v>2017</v>
      </c>
      <c r="D377" s="13"/>
      <c r="E377" s="13">
        <v>2995</v>
      </c>
      <c r="F377" s="13">
        <v>441</v>
      </c>
      <c r="G377" s="21">
        <v>114400</v>
      </c>
      <c r="H377" s="20"/>
      <c r="I377" s="19">
        <f>IF(2026-I$3&gt;IF($D377="",2026,$D377),IF(I$3=12,0.1*$G377,""),IF(2026-I$4&lt;$C377,"",I$4*$G377))</f>
        <v>11440</v>
      </c>
      <c r="J377" s="19">
        <f>IF(2026-J$3&gt;IF($D377="",2026,$D377),IF(J$3=12,0.1*$G377,""),IF(2026-J$4&lt;$C377,"",J$4*$G377))</f>
        <v>14872</v>
      </c>
      <c r="K377" s="19">
        <f>IF(2026-K$3&gt;IF($D377="",2026,$D377),IF(K$3=12,0.1*$G377,""),IF(2026-K$4&lt;$C377,"",K$4*$G377))</f>
        <v>19448</v>
      </c>
      <c r="L377" s="19">
        <f>IF(2026-L$3&gt;IF($D377="",2026,$D377),IF(L$3=12,0.1*$G377,""),IF(2026-L$4&lt;$C377,"",L$4*$G377))</f>
        <v>21736</v>
      </c>
      <c r="M377" s="19">
        <f>IF(2026-M$3&gt;IF($D377="",2026,$D377),IF(M$3=12,0.1*$G377,""),IF(2026-M$4&lt;$C377,"",M$4*$G377))</f>
        <v>27456</v>
      </c>
      <c r="N377" s="19">
        <f>IF(2026-N$3&gt;IF($D377="",2026,$D377),IF(N$3=12,0.1*$G377,""),IF(2026-N$4&lt;$C377,"",N$4*$G377))</f>
        <v>32032.000000000004</v>
      </c>
      <c r="O377" s="19">
        <f>IF(2026-O$3&gt;IF($D377="",2026,$D377),IF(O$3=12,0.1*$G377,""),IF(2026-O$4&lt;$C377,"",O$4*$G377))</f>
        <v>38896</v>
      </c>
      <c r="P377" s="19">
        <f>IF(2026-P$3&gt;IF($D377="",2026,$D377),IF(P$3=12,0.1*$G377,""),IF(2026-P$4&lt;$C377,"",P$4*$G377))</f>
        <v>44616</v>
      </c>
      <c r="Q377" s="19">
        <f>IF(2026-Q$3&gt;IF($D377="",2026,$D377),IF(Q$3=12,0.1*$G377,""),IF(2026-Q$4&lt;$C377,"",Q$4*$G377))</f>
        <v>53768</v>
      </c>
      <c r="R377" s="19">
        <f>IF(2026-R$3&gt;IF($D377="",2026,$D377),IF(R$3=12,0.1*$G377,""),IF(2026-R$4&lt;$C377,"",R$4*$G377))</f>
        <v>64064.000000000007</v>
      </c>
      <c r="S377" s="19">
        <f>IF(2026-S$3&gt;IF($D377="",2026,$D377),IF(S$3=12,0.1*$G377,""),IF(2026-S$4&lt;$C377,"",S$4*$G377))</f>
        <v>76648</v>
      </c>
      <c r="T377" s="19">
        <f>IF(2026-T$3&gt;IF($D377="",2026,$D377),IF(T$3=12,0.1*$G377,""),IF(2026-T$4&lt;$C377,"",T$4*$G377))</f>
        <v>96096</v>
      </c>
    </row>
    <row r="378" spans="1:20" s="18" customFormat="1" ht="12" customHeight="1" x14ac:dyDescent="0.2">
      <c r="A378" s="17"/>
      <c r="B378" s="16" t="s">
        <v>80</v>
      </c>
      <c r="C378" s="13">
        <v>2017</v>
      </c>
      <c r="D378" s="13"/>
      <c r="E378" s="13">
        <v>2995</v>
      </c>
      <c r="F378" s="13">
        <v>462</v>
      </c>
      <c r="G378" s="21">
        <v>98800</v>
      </c>
      <c r="H378" s="20"/>
      <c r="I378" s="19">
        <f>IF(2026-I$3&gt;IF($D378="",2026,$D378),IF(I$3=12,0.1*$G378,""),IF(2026-I$4&lt;$C378,"",I$4*$G378))</f>
        <v>9880</v>
      </c>
      <c r="J378" s="19">
        <f>IF(2026-J$3&gt;IF($D378="",2026,$D378),IF(J$3=12,0.1*$G378,""),IF(2026-J$4&lt;$C378,"",J$4*$G378))</f>
        <v>12844</v>
      </c>
      <c r="K378" s="19">
        <f>IF(2026-K$3&gt;IF($D378="",2026,$D378),IF(K$3=12,0.1*$G378,""),IF(2026-K$4&lt;$C378,"",K$4*$G378))</f>
        <v>16796</v>
      </c>
      <c r="L378" s="19">
        <f>IF(2026-L$3&gt;IF($D378="",2026,$D378),IF(L$3=12,0.1*$G378,""),IF(2026-L$4&lt;$C378,"",L$4*$G378))</f>
        <v>18772</v>
      </c>
      <c r="M378" s="19">
        <f>IF(2026-M$3&gt;IF($D378="",2026,$D378),IF(M$3=12,0.1*$G378,""),IF(2026-M$4&lt;$C378,"",M$4*$G378))</f>
        <v>23712</v>
      </c>
      <c r="N378" s="19">
        <f>IF(2026-N$3&gt;IF($D378="",2026,$D378),IF(N$3=12,0.1*$G378,""),IF(2026-N$4&lt;$C378,"",N$4*$G378))</f>
        <v>27664.000000000004</v>
      </c>
      <c r="O378" s="19">
        <f>IF(2026-O$3&gt;IF($D378="",2026,$D378),IF(O$3=12,0.1*$G378,""),IF(2026-O$4&lt;$C378,"",O$4*$G378))</f>
        <v>33592</v>
      </c>
      <c r="P378" s="19">
        <f>IF(2026-P$3&gt;IF($D378="",2026,$D378),IF(P$3=12,0.1*$G378,""),IF(2026-P$4&lt;$C378,"",P$4*$G378))</f>
        <v>38532</v>
      </c>
      <c r="Q378" s="19">
        <f>IF(2026-Q$3&gt;IF($D378="",2026,$D378),IF(Q$3=12,0.1*$G378,""),IF(2026-Q$4&lt;$C378,"",Q$4*$G378))</f>
        <v>46436</v>
      </c>
      <c r="R378" s="19">
        <f>IF(2026-R$3&gt;IF($D378="",2026,$D378),IF(R$3=12,0.1*$G378,""),IF(2026-R$4&lt;$C378,"",R$4*$G378))</f>
        <v>55328.000000000007</v>
      </c>
      <c r="S378" s="19">
        <f>IF(2026-S$3&gt;IF($D378="",2026,$D378),IF(S$3=12,0.1*$G378,""),IF(2026-S$4&lt;$C378,"",S$4*$G378))</f>
        <v>66196</v>
      </c>
      <c r="T378" s="19">
        <f>IF(2026-T$3&gt;IF($D378="",2026,$D378),IF(T$3=12,0.1*$G378,""),IF(2026-T$4&lt;$C378,"",T$4*$G378))</f>
        <v>82992</v>
      </c>
    </row>
    <row r="379" spans="1:20" s="18" customFormat="1" ht="12" customHeight="1" x14ac:dyDescent="0.2">
      <c r="A379" s="17"/>
      <c r="B379" s="16" t="s">
        <v>79</v>
      </c>
      <c r="C379" s="13">
        <v>2017</v>
      </c>
      <c r="D379" s="13"/>
      <c r="E379" s="13">
        <v>3996</v>
      </c>
      <c r="F379" s="13">
        <v>549</v>
      </c>
      <c r="G379" s="21">
        <v>156500</v>
      </c>
      <c r="H379" s="20"/>
      <c r="I379" s="19">
        <f>IF(2026-I$3&gt;IF($D379="",2026,$D379),IF(I$3=12,0.1*$G379,""),IF(2026-I$4&lt;$C379,"",I$4*$G379))</f>
        <v>15650</v>
      </c>
      <c r="J379" s="19">
        <f>IF(2026-J$3&gt;IF($D379="",2026,$D379),IF(J$3=12,0.1*$G379,""),IF(2026-J$4&lt;$C379,"",J$4*$G379))</f>
        <v>20345</v>
      </c>
      <c r="K379" s="19">
        <f>IF(2026-K$3&gt;IF($D379="",2026,$D379),IF(K$3=12,0.1*$G379,""),IF(2026-K$4&lt;$C379,"",K$4*$G379))</f>
        <v>26605.000000000004</v>
      </c>
      <c r="L379" s="19">
        <f>IF(2026-L$3&gt;IF($D379="",2026,$D379),IF(L$3=12,0.1*$G379,""),IF(2026-L$4&lt;$C379,"",L$4*$G379))</f>
        <v>29735</v>
      </c>
      <c r="M379" s="19">
        <f>IF(2026-M$3&gt;IF($D379="",2026,$D379),IF(M$3=12,0.1*$G379,""),IF(2026-M$4&lt;$C379,"",M$4*$G379))</f>
        <v>37560</v>
      </c>
      <c r="N379" s="19">
        <f>IF(2026-N$3&gt;IF($D379="",2026,$D379),IF(N$3=12,0.1*$G379,""),IF(2026-N$4&lt;$C379,"",N$4*$G379))</f>
        <v>43820.000000000007</v>
      </c>
      <c r="O379" s="19">
        <f>IF(2026-O$3&gt;IF($D379="",2026,$D379),IF(O$3=12,0.1*$G379,""),IF(2026-O$4&lt;$C379,"",O$4*$G379))</f>
        <v>53210.000000000007</v>
      </c>
      <c r="P379" s="19">
        <f>IF(2026-P$3&gt;IF($D379="",2026,$D379),IF(P$3=12,0.1*$G379,""),IF(2026-P$4&lt;$C379,"",P$4*$G379))</f>
        <v>61035</v>
      </c>
      <c r="Q379" s="19">
        <f>IF(2026-Q$3&gt;IF($D379="",2026,$D379),IF(Q$3=12,0.1*$G379,""),IF(2026-Q$4&lt;$C379,"",Q$4*$G379))</f>
        <v>73555</v>
      </c>
      <c r="R379" s="19">
        <f>IF(2026-R$3&gt;IF($D379="",2026,$D379),IF(R$3=12,0.1*$G379,""),IF(2026-R$4&lt;$C379,"",R$4*$G379))</f>
        <v>87640.000000000015</v>
      </c>
      <c r="S379" s="19">
        <f>IF(2026-S$3&gt;IF($D379="",2026,$D379),IF(S$3=12,0.1*$G379,""),IF(2026-S$4&lt;$C379,"",S$4*$G379))</f>
        <v>104855</v>
      </c>
      <c r="T379" s="19">
        <f>IF(2026-T$3&gt;IF($D379="",2026,$D379),IF(T$3=12,0.1*$G379,""),IF(2026-T$4&lt;$C379,"",T$4*$G379))</f>
        <v>131460</v>
      </c>
    </row>
    <row r="380" spans="1:20" s="18" customFormat="1" ht="12" customHeight="1" x14ac:dyDescent="0.2">
      <c r="A380" s="17"/>
      <c r="B380" s="16" t="s">
        <v>78</v>
      </c>
      <c r="C380" s="13">
        <v>2017</v>
      </c>
      <c r="D380" s="13"/>
      <c r="E380" s="13">
        <v>3996</v>
      </c>
      <c r="F380" s="13">
        <v>549</v>
      </c>
      <c r="G380" s="21">
        <v>162900</v>
      </c>
      <c r="H380" s="20"/>
      <c r="I380" s="19">
        <f>IF(2026-I$3&gt;IF($D380="",2026,$D380),IF(I$3=12,0.1*$G380,""),IF(2026-I$4&lt;$C380,"",I$4*$G380))</f>
        <v>16290</v>
      </c>
      <c r="J380" s="19">
        <f>IF(2026-J$3&gt;IF($D380="",2026,$D380),IF(J$3=12,0.1*$G380,""),IF(2026-J$4&lt;$C380,"",J$4*$G380))</f>
        <v>21177</v>
      </c>
      <c r="K380" s="19">
        <f>IF(2026-K$3&gt;IF($D380="",2026,$D380),IF(K$3=12,0.1*$G380,""),IF(2026-K$4&lt;$C380,"",K$4*$G380))</f>
        <v>27693.000000000004</v>
      </c>
      <c r="L380" s="19">
        <f>IF(2026-L$3&gt;IF($D380="",2026,$D380),IF(L$3=12,0.1*$G380,""),IF(2026-L$4&lt;$C380,"",L$4*$G380))</f>
        <v>30951</v>
      </c>
      <c r="M380" s="19">
        <f>IF(2026-M$3&gt;IF($D380="",2026,$D380),IF(M$3=12,0.1*$G380,""),IF(2026-M$4&lt;$C380,"",M$4*$G380))</f>
        <v>39096</v>
      </c>
      <c r="N380" s="19">
        <f>IF(2026-N$3&gt;IF($D380="",2026,$D380),IF(N$3=12,0.1*$G380,""),IF(2026-N$4&lt;$C380,"",N$4*$G380))</f>
        <v>45612.000000000007</v>
      </c>
      <c r="O380" s="19">
        <f>IF(2026-O$3&gt;IF($D380="",2026,$D380),IF(O$3=12,0.1*$G380,""),IF(2026-O$4&lt;$C380,"",O$4*$G380))</f>
        <v>55386.000000000007</v>
      </c>
      <c r="P380" s="19">
        <f>IF(2026-P$3&gt;IF($D380="",2026,$D380),IF(P$3=12,0.1*$G380,""),IF(2026-P$4&lt;$C380,"",P$4*$G380))</f>
        <v>63531</v>
      </c>
      <c r="Q380" s="19">
        <f>IF(2026-Q$3&gt;IF($D380="",2026,$D380),IF(Q$3=12,0.1*$G380,""),IF(2026-Q$4&lt;$C380,"",Q$4*$G380))</f>
        <v>76563</v>
      </c>
      <c r="R380" s="19">
        <f>IF(2026-R$3&gt;IF($D380="",2026,$D380),IF(R$3=12,0.1*$G380,""),IF(2026-R$4&lt;$C380,"",R$4*$G380))</f>
        <v>91224.000000000015</v>
      </c>
      <c r="S380" s="19">
        <f>IF(2026-S$3&gt;IF($D380="",2026,$D380),IF(S$3=12,0.1*$G380,""),IF(2026-S$4&lt;$C380,"",S$4*$G380))</f>
        <v>109143</v>
      </c>
      <c r="T380" s="19">
        <f>IF(2026-T$3&gt;IF($D380="",2026,$D380),IF(T$3=12,0.1*$G380,""),IF(2026-T$4&lt;$C380,"",T$4*$G380))</f>
        <v>136836</v>
      </c>
    </row>
    <row r="381" spans="1:20" s="18" customFormat="1" ht="12" customHeight="1" x14ac:dyDescent="0.2">
      <c r="A381" s="17"/>
      <c r="B381" s="16" t="s">
        <v>77</v>
      </c>
      <c r="C381" s="13">
        <v>2017</v>
      </c>
      <c r="D381" s="13"/>
      <c r="E381" s="13">
        <v>3996</v>
      </c>
      <c r="F381" s="13">
        <v>680</v>
      </c>
      <c r="G381" s="21">
        <v>165400</v>
      </c>
      <c r="H381" s="20"/>
      <c r="I381" s="19">
        <f>IF(2026-I$3&gt;IF($D381="",2026,$D381),IF(I$3=12,0.1*$G381,""),IF(2026-I$4&lt;$C381,"",I$4*$G381))</f>
        <v>16540</v>
      </c>
      <c r="J381" s="19">
        <f>IF(2026-J$3&gt;IF($D381="",2026,$D381),IF(J$3=12,0.1*$G381,""),IF(2026-J$4&lt;$C381,"",J$4*$G381))</f>
        <v>21502</v>
      </c>
      <c r="K381" s="19">
        <f>IF(2026-K$3&gt;IF($D381="",2026,$D381),IF(K$3=12,0.1*$G381,""),IF(2026-K$4&lt;$C381,"",K$4*$G381))</f>
        <v>28118.000000000004</v>
      </c>
      <c r="L381" s="19">
        <f>IF(2026-L$3&gt;IF($D381="",2026,$D381),IF(L$3=12,0.1*$G381,""),IF(2026-L$4&lt;$C381,"",L$4*$G381))</f>
        <v>31426</v>
      </c>
      <c r="M381" s="19">
        <f>IF(2026-M$3&gt;IF($D381="",2026,$D381),IF(M$3=12,0.1*$G381,""),IF(2026-M$4&lt;$C381,"",M$4*$G381))</f>
        <v>39696</v>
      </c>
      <c r="N381" s="19">
        <f>IF(2026-N$3&gt;IF($D381="",2026,$D381),IF(N$3=12,0.1*$G381,""),IF(2026-N$4&lt;$C381,"",N$4*$G381))</f>
        <v>46312.000000000007</v>
      </c>
      <c r="O381" s="19">
        <f>IF(2026-O$3&gt;IF($D381="",2026,$D381),IF(O$3=12,0.1*$G381,""),IF(2026-O$4&lt;$C381,"",O$4*$G381))</f>
        <v>56236.000000000007</v>
      </c>
      <c r="P381" s="19">
        <f>IF(2026-P$3&gt;IF($D381="",2026,$D381),IF(P$3=12,0.1*$G381,""),IF(2026-P$4&lt;$C381,"",P$4*$G381))</f>
        <v>64506</v>
      </c>
      <c r="Q381" s="19">
        <f>IF(2026-Q$3&gt;IF($D381="",2026,$D381),IF(Q$3=12,0.1*$G381,""),IF(2026-Q$4&lt;$C381,"",Q$4*$G381))</f>
        <v>77738</v>
      </c>
      <c r="R381" s="19">
        <f>IF(2026-R$3&gt;IF($D381="",2026,$D381),IF(R$3=12,0.1*$G381,""),IF(2026-R$4&lt;$C381,"",R$4*$G381))</f>
        <v>92624.000000000015</v>
      </c>
      <c r="S381" s="19">
        <f>IF(2026-S$3&gt;IF($D381="",2026,$D381),IF(S$3=12,0.1*$G381,""),IF(2026-S$4&lt;$C381,"",S$4*$G381))</f>
        <v>110818</v>
      </c>
      <c r="T381" s="19">
        <f>IF(2026-T$3&gt;IF($D381="",2026,$D381),IF(T$3=12,0.1*$G381,""),IF(2026-T$4&lt;$C381,"",T$4*$G381))</f>
        <v>138936</v>
      </c>
    </row>
    <row r="382" spans="1:20" s="18" customFormat="1" ht="12" customHeight="1" x14ac:dyDescent="0.2">
      <c r="A382" s="17"/>
      <c r="B382" s="16" t="s">
        <v>76</v>
      </c>
      <c r="C382" s="13">
        <v>2020</v>
      </c>
      <c r="D382" s="13"/>
      <c r="E382" s="13">
        <v>2894</v>
      </c>
      <c r="F382" s="13">
        <v>330</v>
      </c>
      <c r="G382" s="21">
        <v>90800</v>
      </c>
      <c r="H382" s="20"/>
      <c r="I382" s="19">
        <f>IF(2026-I$3&gt;IF($D382="",2026,$D382),IF(I$3=12,0.1*$G382,""),IF(2026-I$4&lt;$C382,"",I$4*$G382))</f>
        <v>9080</v>
      </c>
      <c r="J382" s="19">
        <f>IF(2026-J$3&gt;IF($D382="",2026,$D382),IF(J$3=12,0.1*$G382,""),IF(2026-J$4&lt;$C382,"",J$4*$G382))</f>
        <v>11804</v>
      </c>
      <c r="K382" s="19">
        <f>IF(2026-K$3&gt;IF($D382="",2026,$D382),IF(K$3=12,0.1*$G382,""),IF(2026-K$4&lt;$C382,"",K$4*$G382))</f>
        <v>15436.000000000002</v>
      </c>
      <c r="L382" s="19">
        <f>IF(2026-L$3&gt;IF($D382="",2026,$D382),IF(L$3=12,0.1*$G382,""),IF(2026-L$4&lt;$C382,"",L$4*$G382))</f>
        <v>17252</v>
      </c>
      <c r="M382" s="19">
        <f>IF(2026-M$3&gt;IF($D382="",2026,$D382),IF(M$3=12,0.1*$G382,""),IF(2026-M$4&lt;$C382,"",M$4*$G382))</f>
        <v>21792</v>
      </c>
      <c r="N382" s="19">
        <f>IF(2026-N$3&gt;IF($D382="",2026,$D382),IF(N$3=12,0.1*$G382,""),IF(2026-N$4&lt;$C382,"",N$4*$G382))</f>
        <v>25424.000000000004</v>
      </c>
      <c r="O382" s="19">
        <f>IF(2026-O$3&gt;IF($D382="",2026,$D382),IF(O$3=12,0.1*$G382,""),IF(2026-O$4&lt;$C382,"",O$4*$G382))</f>
        <v>30872.000000000004</v>
      </c>
      <c r="P382" s="19">
        <f>IF(2026-P$3&gt;IF($D382="",2026,$D382),IF(P$3=12,0.1*$G382,""),IF(2026-P$4&lt;$C382,"",P$4*$G382))</f>
        <v>35412</v>
      </c>
      <c r="Q382" s="19">
        <f>IF(2026-Q$3&gt;IF($D382="",2026,$D382),IF(Q$3=12,0.1*$G382,""),IF(2026-Q$4&lt;$C382,"",Q$4*$G382))</f>
        <v>42676</v>
      </c>
      <c r="R382" s="19">
        <f>IF(2026-R$3&gt;IF($D382="",2026,$D382),IF(R$3=12,0.1*$G382,""),IF(2026-R$4&lt;$C382,"",R$4*$G382))</f>
        <v>50848.000000000007</v>
      </c>
      <c r="S382" s="19">
        <f>IF(2026-S$3&gt;IF($D382="",2026,$D382),IF(S$3=12,0.1*$G382,""),IF(2026-S$4&lt;$C382,"",S$4*$G382))</f>
        <v>60836</v>
      </c>
      <c r="T382" s="19">
        <f>IF(2026-T$3&gt;IF($D382="",2026,$D382),IF(T$3=12,0.1*$G382,""),IF(2026-T$4&lt;$C382,"",T$4*$G382))</f>
        <v>76272</v>
      </c>
    </row>
    <row r="383" spans="1:20" s="18" customFormat="1" ht="12" customHeight="1" x14ac:dyDescent="0.2">
      <c r="A383" s="17"/>
      <c r="B383" s="16" t="s">
        <v>75</v>
      </c>
      <c r="C383" s="13">
        <v>2020</v>
      </c>
      <c r="D383" s="13"/>
      <c r="E383" s="13">
        <v>2894</v>
      </c>
      <c r="F383" s="13">
        <v>330</v>
      </c>
      <c r="G383" s="21">
        <v>94600</v>
      </c>
      <c r="H383" s="20"/>
      <c r="I383" s="19">
        <f>IF(2026-I$3&gt;IF($D383="",2026,$D383),IF(I$3=12,0.1*$G383,""),IF(2026-I$4&lt;$C383,"",I$4*$G383))</f>
        <v>9460</v>
      </c>
      <c r="J383" s="19">
        <f>IF(2026-J$3&gt;IF($D383="",2026,$D383),IF(J$3=12,0.1*$G383,""),IF(2026-J$4&lt;$C383,"",J$4*$G383))</f>
        <v>12298</v>
      </c>
      <c r="K383" s="19">
        <f>IF(2026-K$3&gt;IF($D383="",2026,$D383),IF(K$3=12,0.1*$G383,""),IF(2026-K$4&lt;$C383,"",K$4*$G383))</f>
        <v>16082.000000000002</v>
      </c>
      <c r="L383" s="19">
        <f>IF(2026-L$3&gt;IF($D383="",2026,$D383),IF(L$3=12,0.1*$G383,""),IF(2026-L$4&lt;$C383,"",L$4*$G383))</f>
        <v>17974</v>
      </c>
      <c r="M383" s="19">
        <f>IF(2026-M$3&gt;IF($D383="",2026,$D383),IF(M$3=12,0.1*$G383,""),IF(2026-M$4&lt;$C383,"",M$4*$G383))</f>
        <v>22704</v>
      </c>
      <c r="N383" s="19">
        <f>IF(2026-N$3&gt;IF($D383="",2026,$D383),IF(N$3=12,0.1*$G383,""),IF(2026-N$4&lt;$C383,"",N$4*$G383))</f>
        <v>26488.000000000004</v>
      </c>
      <c r="O383" s="19">
        <f>IF(2026-O$3&gt;IF($D383="",2026,$D383),IF(O$3=12,0.1*$G383,""),IF(2026-O$4&lt;$C383,"",O$4*$G383))</f>
        <v>32164.000000000004</v>
      </c>
      <c r="P383" s="19">
        <f>IF(2026-P$3&gt;IF($D383="",2026,$D383),IF(P$3=12,0.1*$G383,""),IF(2026-P$4&lt;$C383,"",P$4*$G383))</f>
        <v>36894</v>
      </c>
      <c r="Q383" s="19">
        <f>IF(2026-Q$3&gt;IF($D383="",2026,$D383),IF(Q$3=12,0.1*$G383,""),IF(2026-Q$4&lt;$C383,"",Q$4*$G383))</f>
        <v>44462</v>
      </c>
      <c r="R383" s="19">
        <f>IF(2026-R$3&gt;IF($D383="",2026,$D383),IF(R$3=12,0.1*$G383,""),IF(2026-R$4&lt;$C383,"",R$4*$G383))</f>
        <v>52976.000000000007</v>
      </c>
      <c r="S383" s="19">
        <f>IF(2026-S$3&gt;IF($D383="",2026,$D383),IF(S$3=12,0.1*$G383,""),IF(2026-S$4&lt;$C383,"",S$4*$G383))</f>
        <v>63382.000000000007</v>
      </c>
      <c r="T383" s="19">
        <f>IF(2026-T$3&gt;IF($D383="",2026,$D383),IF(T$3=12,0.1*$G383,""),IF(2026-T$4&lt;$C383,"",T$4*$G383))</f>
        <v>79464</v>
      </c>
    </row>
    <row r="384" spans="1:20" s="18" customFormat="1" ht="12" customHeight="1" x14ac:dyDescent="0.2">
      <c r="A384" s="17"/>
      <c r="B384" s="16" t="s">
        <v>74</v>
      </c>
      <c r="C384" s="13">
        <v>2020</v>
      </c>
      <c r="D384" s="13"/>
      <c r="E384" s="13">
        <v>2894</v>
      </c>
      <c r="F384" s="13">
        <v>330</v>
      </c>
      <c r="G384" s="21">
        <v>107900</v>
      </c>
      <c r="H384" s="20"/>
      <c r="I384" s="19">
        <f>IF(2026-I$3&gt;IF($D384="",2026,$D384),IF(I$3=12,0.1*$G384,""),IF(2026-I$4&lt;$C384,"",I$4*$G384))</f>
        <v>10790</v>
      </c>
      <c r="J384" s="19">
        <f>IF(2026-J$3&gt;IF($D384="",2026,$D384),IF(J$3=12,0.1*$G384,""),IF(2026-J$4&lt;$C384,"",J$4*$G384))</f>
        <v>14027</v>
      </c>
      <c r="K384" s="19">
        <f>IF(2026-K$3&gt;IF($D384="",2026,$D384),IF(K$3=12,0.1*$G384,""),IF(2026-K$4&lt;$C384,"",K$4*$G384))</f>
        <v>18343</v>
      </c>
      <c r="L384" s="19">
        <f>IF(2026-L$3&gt;IF($D384="",2026,$D384),IF(L$3=12,0.1*$G384,""),IF(2026-L$4&lt;$C384,"",L$4*$G384))</f>
        <v>20501</v>
      </c>
      <c r="M384" s="19">
        <f>IF(2026-M$3&gt;IF($D384="",2026,$D384),IF(M$3=12,0.1*$G384,""),IF(2026-M$4&lt;$C384,"",M$4*$G384))</f>
        <v>25896</v>
      </c>
      <c r="N384" s="19">
        <f>IF(2026-N$3&gt;IF($D384="",2026,$D384),IF(N$3=12,0.1*$G384,""),IF(2026-N$4&lt;$C384,"",N$4*$G384))</f>
        <v>30212.000000000004</v>
      </c>
      <c r="O384" s="19">
        <f>IF(2026-O$3&gt;IF($D384="",2026,$D384),IF(O$3=12,0.1*$G384,""),IF(2026-O$4&lt;$C384,"",O$4*$G384))</f>
        <v>36686</v>
      </c>
      <c r="P384" s="19">
        <f>IF(2026-P$3&gt;IF($D384="",2026,$D384),IF(P$3=12,0.1*$G384,""),IF(2026-P$4&lt;$C384,"",P$4*$G384))</f>
        <v>42081</v>
      </c>
      <c r="Q384" s="19">
        <f>IF(2026-Q$3&gt;IF($D384="",2026,$D384),IF(Q$3=12,0.1*$G384,""),IF(2026-Q$4&lt;$C384,"",Q$4*$G384))</f>
        <v>50713</v>
      </c>
      <c r="R384" s="19">
        <f>IF(2026-R$3&gt;IF($D384="",2026,$D384),IF(R$3=12,0.1*$G384,""),IF(2026-R$4&lt;$C384,"",R$4*$G384))</f>
        <v>60424.000000000007</v>
      </c>
      <c r="S384" s="19">
        <f>IF(2026-S$3&gt;IF($D384="",2026,$D384),IF(S$3=12,0.1*$G384,""),IF(2026-S$4&lt;$C384,"",S$4*$G384))</f>
        <v>72293</v>
      </c>
      <c r="T384" s="19">
        <f>IF(2026-T$3&gt;IF($D384="",2026,$D384),IF(T$3=12,0.1*$G384,""),IF(2026-T$4&lt;$C384,"",T$4*$G384))</f>
        <v>90636</v>
      </c>
    </row>
    <row r="385" spans="1:20" s="18" customFormat="1" ht="12" customHeight="1" x14ac:dyDescent="0.2">
      <c r="A385" s="17"/>
      <c r="B385" s="16" t="s">
        <v>73</v>
      </c>
      <c r="C385" s="13">
        <v>2020</v>
      </c>
      <c r="D385" s="13"/>
      <c r="E385" s="13">
        <v>2894</v>
      </c>
      <c r="F385" s="13">
        <v>330</v>
      </c>
      <c r="G385" s="21">
        <v>101100</v>
      </c>
      <c r="H385" s="20"/>
      <c r="I385" s="19">
        <f>IF(2026-I$3&gt;IF($D385="",2026,$D385),IF(I$3=12,0.1*$G385,""),IF(2026-I$4&lt;$C385,"",I$4*$G385))</f>
        <v>10110</v>
      </c>
      <c r="J385" s="19">
        <f>IF(2026-J$3&gt;IF($D385="",2026,$D385),IF(J$3=12,0.1*$G385,""),IF(2026-J$4&lt;$C385,"",J$4*$G385))</f>
        <v>13143</v>
      </c>
      <c r="K385" s="19">
        <f>IF(2026-K$3&gt;IF($D385="",2026,$D385),IF(K$3=12,0.1*$G385,""),IF(2026-K$4&lt;$C385,"",K$4*$G385))</f>
        <v>17187</v>
      </c>
      <c r="L385" s="19">
        <f>IF(2026-L$3&gt;IF($D385="",2026,$D385),IF(L$3=12,0.1*$G385,""),IF(2026-L$4&lt;$C385,"",L$4*$G385))</f>
        <v>19209</v>
      </c>
      <c r="M385" s="19">
        <f>IF(2026-M$3&gt;IF($D385="",2026,$D385),IF(M$3=12,0.1*$G385,""),IF(2026-M$4&lt;$C385,"",M$4*$G385))</f>
        <v>24264</v>
      </c>
      <c r="N385" s="19">
        <f>IF(2026-N$3&gt;IF($D385="",2026,$D385),IF(N$3=12,0.1*$G385,""),IF(2026-N$4&lt;$C385,"",N$4*$G385))</f>
        <v>28308.000000000004</v>
      </c>
      <c r="O385" s="19">
        <f>IF(2026-O$3&gt;IF($D385="",2026,$D385),IF(O$3=12,0.1*$G385,""),IF(2026-O$4&lt;$C385,"",O$4*$G385))</f>
        <v>34374</v>
      </c>
      <c r="P385" s="19">
        <f>IF(2026-P$3&gt;IF($D385="",2026,$D385),IF(P$3=12,0.1*$G385,""),IF(2026-P$4&lt;$C385,"",P$4*$G385))</f>
        <v>39429</v>
      </c>
      <c r="Q385" s="19">
        <f>IF(2026-Q$3&gt;IF($D385="",2026,$D385),IF(Q$3=12,0.1*$G385,""),IF(2026-Q$4&lt;$C385,"",Q$4*$G385))</f>
        <v>47517</v>
      </c>
      <c r="R385" s="19">
        <f>IF(2026-R$3&gt;IF($D385="",2026,$D385),IF(R$3=12,0.1*$G385,""),IF(2026-R$4&lt;$C385,"",R$4*$G385))</f>
        <v>56616.000000000007</v>
      </c>
      <c r="S385" s="19">
        <f>IF(2026-S$3&gt;IF($D385="",2026,$D385),IF(S$3=12,0.1*$G385,""),IF(2026-S$4&lt;$C385,"",S$4*$G385))</f>
        <v>67737</v>
      </c>
      <c r="T385" s="19">
        <f>IF(2026-T$3&gt;IF($D385="",2026,$D385),IF(T$3=12,0.1*$G385,""),IF(2026-T$4&lt;$C385,"",T$4*$G385))</f>
        <v>84924</v>
      </c>
    </row>
    <row r="386" spans="1:20" s="18" customFormat="1" ht="12" customHeight="1" x14ac:dyDescent="0.2">
      <c r="A386" s="17"/>
      <c r="B386" s="16" t="s">
        <v>72</v>
      </c>
      <c r="C386" s="13">
        <v>2020</v>
      </c>
      <c r="D386" s="13"/>
      <c r="E386" s="13">
        <v>3996</v>
      </c>
      <c r="F386" s="13">
        <v>480</v>
      </c>
      <c r="G386" s="21">
        <v>140700</v>
      </c>
      <c r="H386" s="20"/>
      <c r="I386" s="19">
        <f>IF(2026-I$3&gt;IF($D386="",2026,$D386),IF(I$3=12,0.1*$G386,""),IF(2026-I$4&lt;$C386,"",I$4*$G386))</f>
        <v>14070</v>
      </c>
      <c r="J386" s="19">
        <f>IF(2026-J$3&gt;IF($D386="",2026,$D386),IF(J$3=12,0.1*$G386,""),IF(2026-J$4&lt;$C386,"",J$4*$G386))</f>
        <v>18291</v>
      </c>
      <c r="K386" s="19">
        <f>IF(2026-K$3&gt;IF($D386="",2026,$D386),IF(K$3=12,0.1*$G386,""),IF(2026-K$4&lt;$C386,"",K$4*$G386))</f>
        <v>23919</v>
      </c>
      <c r="L386" s="19">
        <f>IF(2026-L$3&gt;IF($D386="",2026,$D386),IF(L$3=12,0.1*$G386,""),IF(2026-L$4&lt;$C386,"",L$4*$G386))</f>
        <v>26733</v>
      </c>
      <c r="M386" s="19">
        <f>IF(2026-M$3&gt;IF($D386="",2026,$D386),IF(M$3=12,0.1*$G386,""),IF(2026-M$4&lt;$C386,"",M$4*$G386))</f>
        <v>33768</v>
      </c>
      <c r="N386" s="19">
        <f>IF(2026-N$3&gt;IF($D386="",2026,$D386),IF(N$3=12,0.1*$G386,""),IF(2026-N$4&lt;$C386,"",N$4*$G386))</f>
        <v>39396.000000000007</v>
      </c>
      <c r="O386" s="19">
        <f>IF(2026-O$3&gt;IF($D386="",2026,$D386),IF(O$3=12,0.1*$G386,""),IF(2026-O$4&lt;$C386,"",O$4*$G386))</f>
        <v>47838</v>
      </c>
      <c r="P386" s="19">
        <f>IF(2026-P$3&gt;IF($D386="",2026,$D386),IF(P$3=12,0.1*$G386,""),IF(2026-P$4&lt;$C386,"",P$4*$G386))</f>
        <v>54873</v>
      </c>
      <c r="Q386" s="19">
        <f>IF(2026-Q$3&gt;IF($D386="",2026,$D386),IF(Q$3=12,0.1*$G386,""),IF(2026-Q$4&lt;$C386,"",Q$4*$G386))</f>
        <v>66129</v>
      </c>
      <c r="R386" s="19">
        <f>IF(2026-R$3&gt;IF($D386="",2026,$D386),IF(R$3=12,0.1*$G386,""),IF(2026-R$4&lt;$C386,"",R$4*$G386))</f>
        <v>78792.000000000015</v>
      </c>
      <c r="S386" s="19">
        <f>IF(2026-S$3&gt;IF($D386="",2026,$D386),IF(S$3=12,0.1*$G386,""),IF(2026-S$4&lt;$C386,"",S$4*$G386))</f>
        <v>94269</v>
      </c>
      <c r="T386" s="19">
        <f>IF(2026-T$3&gt;IF($D386="",2026,$D386),IF(T$3=12,0.1*$G386,""),IF(2026-T$4&lt;$C386,"",T$4*$G386))</f>
        <v>118188</v>
      </c>
    </row>
    <row r="387" spans="1:20" s="18" customFormat="1" ht="12" customHeight="1" x14ac:dyDescent="0.2">
      <c r="A387" s="17"/>
      <c r="B387" s="16" t="s">
        <v>71</v>
      </c>
      <c r="C387" s="13">
        <v>2020</v>
      </c>
      <c r="D387" s="13"/>
      <c r="E387" s="13">
        <v>2894</v>
      </c>
      <c r="F387" s="13">
        <v>480</v>
      </c>
      <c r="G387" s="21">
        <v>143600</v>
      </c>
      <c r="H387" s="20"/>
      <c r="I387" s="19">
        <f>IF(2026-I$3&gt;IF($D387="",2026,$D387),IF(I$3=12,0.1*$G387,""),IF(2026-I$4&lt;$C387,"",I$4*$G387))</f>
        <v>14360</v>
      </c>
      <c r="J387" s="19">
        <f>IF(2026-J$3&gt;IF($D387="",2026,$D387),IF(J$3=12,0.1*$G387,""),IF(2026-J$4&lt;$C387,"",J$4*$G387))</f>
        <v>18668</v>
      </c>
      <c r="K387" s="19">
        <f>IF(2026-K$3&gt;IF($D387="",2026,$D387),IF(K$3=12,0.1*$G387,""),IF(2026-K$4&lt;$C387,"",K$4*$G387))</f>
        <v>24412</v>
      </c>
      <c r="L387" s="19">
        <f>IF(2026-L$3&gt;IF($D387="",2026,$D387),IF(L$3=12,0.1*$G387,""),IF(2026-L$4&lt;$C387,"",L$4*$G387))</f>
        <v>27284</v>
      </c>
      <c r="M387" s="19">
        <f>IF(2026-M$3&gt;IF($D387="",2026,$D387),IF(M$3=12,0.1*$G387,""),IF(2026-M$4&lt;$C387,"",M$4*$G387))</f>
        <v>34464</v>
      </c>
      <c r="N387" s="19">
        <f>IF(2026-N$3&gt;IF($D387="",2026,$D387),IF(N$3=12,0.1*$G387,""),IF(2026-N$4&lt;$C387,"",N$4*$G387))</f>
        <v>40208.000000000007</v>
      </c>
      <c r="O387" s="19">
        <f>IF(2026-O$3&gt;IF($D387="",2026,$D387),IF(O$3=12,0.1*$G387,""),IF(2026-O$4&lt;$C387,"",O$4*$G387))</f>
        <v>48824</v>
      </c>
      <c r="P387" s="19">
        <f>IF(2026-P$3&gt;IF($D387="",2026,$D387),IF(P$3=12,0.1*$G387,""),IF(2026-P$4&lt;$C387,"",P$4*$G387))</f>
        <v>56004</v>
      </c>
      <c r="Q387" s="19">
        <f>IF(2026-Q$3&gt;IF($D387="",2026,$D387),IF(Q$3=12,0.1*$G387,""),IF(2026-Q$4&lt;$C387,"",Q$4*$G387))</f>
        <v>67492</v>
      </c>
      <c r="R387" s="19">
        <f>IF(2026-R$3&gt;IF($D387="",2026,$D387),IF(R$3=12,0.1*$G387,""),IF(2026-R$4&lt;$C387,"",R$4*$G387))</f>
        <v>80416.000000000015</v>
      </c>
      <c r="S387" s="19">
        <f>IF(2026-S$3&gt;IF($D387="",2026,$D387),IF(S$3=12,0.1*$G387,""),IF(2026-S$4&lt;$C387,"",S$4*$G387))</f>
        <v>96212</v>
      </c>
      <c r="T387" s="19">
        <f>IF(2026-T$3&gt;IF($D387="",2026,$D387),IF(T$3=12,0.1*$G387,""),IF(2026-T$4&lt;$C387,"",T$4*$G387))</f>
        <v>120624</v>
      </c>
    </row>
    <row r="388" spans="1:20" s="18" customFormat="1" ht="12" customHeight="1" x14ac:dyDescent="0.2">
      <c r="A388" s="17"/>
      <c r="B388" s="16" t="s">
        <v>70</v>
      </c>
      <c r="C388" s="13">
        <v>2020</v>
      </c>
      <c r="D388" s="13"/>
      <c r="E388" s="13">
        <v>2894</v>
      </c>
      <c r="F388" s="13">
        <v>560</v>
      </c>
      <c r="G388" s="21">
        <v>116200</v>
      </c>
      <c r="H388" s="20"/>
      <c r="I388" s="19">
        <f>IF(2026-I$3&gt;IF($D388="",2026,$D388),IF(I$3=12,0.1*$G388,""),IF(2026-I$4&lt;$C388,"",I$4*$G388))</f>
        <v>11620</v>
      </c>
      <c r="J388" s="19">
        <f>IF(2026-J$3&gt;IF($D388="",2026,$D388),IF(J$3=12,0.1*$G388,""),IF(2026-J$4&lt;$C388,"",J$4*$G388))</f>
        <v>15106</v>
      </c>
      <c r="K388" s="19">
        <f>IF(2026-K$3&gt;IF($D388="",2026,$D388),IF(K$3=12,0.1*$G388,""),IF(2026-K$4&lt;$C388,"",K$4*$G388))</f>
        <v>19754</v>
      </c>
      <c r="L388" s="19">
        <f>IF(2026-L$3&gt;IF($D388="",2026,$D388),IF(L$3=12,0.1*$G388,""),IF(2026-L$4&lt;$C388,"",L$4*$G388))</f>
        <v>22078</v>
      </c>
      <c r="M388" s="19">
        <f>IF(2026-M$3&gt;IF($D388="",2026,$D388),IF(M$3=12,0.1*$G388,""),IF(2026-M$4&lt;$C388,"",M$4*$G388))</f>
        <v>27888</v>
      </c>
      <c r="N388" s="19">
        <f>IF(2026-N$3&gt;IF($D388="",2026,$D388),IF(N$3=12,0.1*$G388,""),IF(2026-N$4&lt;$C388,"",N$4*$G388))</f>
        <v>32536.000000000004</v>
      </c>
      <c r="O388" s="19">
        <f>IF(2026-O$3&gt;IF($D388="",2026,$D388),IF(O$3=12,0.1*$G388,""),IF(2026-O$4&lt;$C388,"",O$4*$G388))</f>
        <v>39508</v>
      </c>
      <c r="P388" s="19">
        <f>IF(2026-P$3&gt;IF($D388="",2026,$D388),IF(P$3=12,0.1*$G388,""),IF(2026-P$4&lt;$C388,"",P$4*$G388))</f>
        <v>45318</v>
      </c>
      <c r="Q388" s="19">
        <f>IF(2026-Q$3&gt;IF($D388="",2026,$D388),IF(Q$3=12,0.1*$G388,""),IF(2026-Q$4&lt;$C388,"",Q$4*$G388))</f>
        <v>54614</v>
      </c>
      <c r="R388" s="19">
        <f>IF(2026-R$3&gt;IF($D388="",2026,$D388),IF(R$3=12,0.1*$G388,""),IF(2026-R$4&lt;$C388,"",R$4*$G388))</f>
        <v>65072.000000000007</v>
      </c>
      <c r="S388" s="19">
        <f>IF(2026-S$3&gt;IF($D388="",2026,$D388),IF(S$3=12,0.1*$G388,""),IF(2026-S$4&lt;$C388,"",S$4*$G388))</f>
        <v>77854</v>
      </c>
      <c r="T388" s="19">
        <f>IF(2026-T$3&gt;IF($D388="",2026,$D388),IF(T$3=12,0.1*$G388,""),IF(2026-T$4&lt;$C388,"",T$4*$G388))</f>
        <v>97608</v>
      </c>
    </row>
    <row r="389" spans="1:20" s="18" customFormat="1" ht="12" customHeight="1" x14ac:dyDescent="0.2">
      <c r="A389" s="17"/>
      <c r="B389" s="16" t="s">
        <v>69</v>
      </c>
      <c r="C389" s="13">
        <v>2020</v>
      </c>
      <c r="D389" s="13"/>
      <c r="E389" s="13">
        <v>2894</v>
      </c>
      <c r="F389" s="13">
        <v>560</v>
      </c>
      <c r="G389" s="21">
        <v>128400</v>
      </c>
      <c r="H389" s="20"/>
      <c r="I389" s="19">
        <f>IF(2026-I$3&gt;IF($D389="",2026,$D389),IF(I$3=12,0.1*$G389,""),IF(2026-I$4&lt;$C389,"",I$4*$G389))</f>
        <v>12840</v>
      </c>
      <c r="J389" s="19">
        <f>IF(2026-J$3&gt;IF($D389="",2026,$D389),IF(J$3=12,0.1*$G389,""),IF(2026-J$4&lt;$C389,"",J$4*$G389))</f>
        <v>16692</v>
      </c>
      <c r="K389" s="19">
        <f>IF(2026-K$3&gt;IF($D389="",2026,$D389),IF(K$3=12,0.1*$G389,""),IF(2026-K$4&lt;$C389,"",K$4*$G389))</f>
        <v>21828</v>
      </c>
      <c r="L389" s="19">
        <f>IF(2026-L$3&gt;IF($D389="",2026,$D389),IF(L$3=12,0.1*$G389,""),IF(2026-L$4&lt;$C389,"",L$4*$G389))</f>
        <v>24396</v>
      </c>
      <c r="M389" s="19">
        <f>IF(2026-M$3&gt;IF($D389="",2026,$D389),IF(M$3=12,0.1*$G389,""),IF(2026-M$4&lt;$C389,"",M$4*$G389))</f>
        <v>30816</v>
      </c>
      <c r="N389" s="19">
        <f>IF(2026-N$3&gt;IF($D389="",2026,$D389),IF(N$3=12,0.1*$G389,""),IF(2026-N$4&lt;$C389,"",N$4*$G389))</f>
        <v>35952</v>
      </c>
      <c r="O389" s="19">
        <f>IF(2026-O$3&gt;IF($D389="",2026,$D389),IF(O$3=12,0.1*$G389,""),IF(2026-O$4&lt;$C389,"",O$4*$G389))</f>
        <v>43656</v>
      </c>
      <c r="P389" s="19">
        <f>IF(2026-P$3&gt;IF($D389="",2026,$D389),IF(P$3=12,0.1*$G389,""),IF(2026-P$4&lt;$C389,"",P$4*$G389))</f>
        <v>50076</v>
      </c>
      <c r="Q389" s="19">
        <f>IF(2026-Q$3&gt;IF($D389="",2026,$D389),IF(Q$3=12,0.1*$G389,""),IF(2026-Q$4&lt;$C389,"",Q$4*$G389))</f>
        <v>60348</v>
      </c>
      <c r="R389" s="19">
        <f>IF(2026-R$3&gt;IF($D389="",2026,$D389),IF(R$3=12,0.1*$G389,""),IF(2026-R$4&lt;$C389,"",R$4*$G389))</f>
        <v>71904</v>
      </c>
      <c r="S389" s="19">
        <f>IF(2026-S$3&gt;IF($D389="",2026,$D389),IF(S$3=12,0.1*$G389,""),IF(2026-S$4&lt;$C389,"",S$4*$G389))</f>
        <v>86028</v>
      </c>
      <c r="T389" s="19">
        <f>IF(2026-T$3&gt;IF($D389="",2026,$D389),IF(T$3=12,0.1*$G389,""),IF(2026-T$4&lt;$C389,"",T$4*$G389))</f>
        <v>107856</v>
      </c>
    </row>
    <row r="390" spans="1:20" s="18" customFormat="1" ht="12" customHeight="1" x14ac:dyDescent="0.2">
      <c r="A390" s="17"/>
      <c r="B390" s="16" t="s">
        <v>68</v>
      </c>
      <c r="C390" s="13">
        <v>2020</v>
      </c>
      <c r="D390" s="13"/>
      <c r="E390" s="13">
        <v>3996</v>
      </c>
      <c r="F390" s="13">
        <v>560</v>
      </c>
      <c r="G390" s="21">
        <v>118700</v>
      </c>
      <c r="H390" s="20"/>
      <c r="I390" s="19">
        <f>IF(2026-I$3&gt;IF($D390="",2026,$D390),IF(I$3=12,0.1*$G390,""),IF(2026-I$4&lt;$C390,"",I$4*$G390))</f>
        <v>11870</v>
      </c>
      <c r="J390" s="19">
        <f>IF(2026-J$3&gt;IF($D390="",2026,$D390),IF(J$3=12,0.1*$G390,""),IF(2026-J$4&lt;$C390,"",J$4*$G390))</f>
        <v>15431</v>
      </c>
      <c r="K390" s="19">
        <f>IF(2026-K$3&gt;IF($D390="",2026,$D390),IF(K$3=12,0.1*$G390,""),IF(2026-K$4&lt;$C390,"",K$4*$G390))</f>
        <v>20179</v>
      </c>
      <c r="L390" s="19">
        <f>IF(2026-L$3&gt;IF($D390="",2026,$D390),IF(L$3=12,0.1*$G390,""),IF(2026-L$4&lt;$C390,"",L$4*$G390))</f>
        <v>22553</v>
      </c>
      <c r="M390" s="19">
        <f>IF(2026-M$3&gt;IF($D390="",2026,$D390),IF(M$3=12,0.1*$G390,""),IF(2026-M$4&lt;$C390,"",M$4*$G390))</f>
        <v>28488</v>
      </c>
      <c r="N390" s="19">
        <f>IF(2026-N$3&gt;IF($D390="",2026,$D390),IF(N$3=12,0.1*$G390,""),IF(2026-N$4&lt;$C390,"",N$4*$G390))</f>
        <v>33236</v>
      </c>
      <c r="O390" s="19">
        <f>IF(2026-O$3&gt;IF($D390="",2026,$D390),IF(O$3=12,0.1*$G390,""),IF(2026-O$4&lt;$C390,"",O$4*$G390))</f>
        <v>40358</v>
      </c>
      <c r="P390" s="19">
        <f>IF(2026-P$3&gt;IF($D390="",2026,$D390),IF(P$3=12,0.1*$G390,""),IF(2026-P$4&lt;$C390,"",P$4*$G390))</f>
        <v>46293</v>
      </c>
      <c r="Q390" s="19">
        <f>IF(2026-Q$3&gt;IF($D390="",2026,$D390),IF(Q$3=12,0.1*$G390,""),IF(2026-Q$4&lt;$C390,"",Q$4*$G390))</f>
        <v>55789</v>
      </c>
      <c r="R390" s="19">
        <f>IF(2026-R$3&gt;IF($D390="",2026,$D390),IF(R$3=12,0.1*$G390,""),IF(2026-R$4&lt;$C390,"",R$4*$G390))</f>
        <v>66472</v>
      </c>
      <c r="S390" s="19">
        <f>IF(2026-S$3&gt;IF($D390="",2026,$D390),IF(S$3=12,0.1*$G390,""),IF(2026-S$4&lt;$C390,"",S$4*$G390))</f>
        <v>79529</v>
      </c>
      <c r="T390" s="19">
        <f>IF(2026-T$3&gt;IF($D390="",2026,$D390),IF(T$3=12,0.1*$G390,""),IF(2026-T$4&lt;$C390,"",T$4*$G390))</f>
        <v>99708</v>
      </c>
    </row>
    <row r="391" spans="1:20" s="18" customFormat="1" ht="12" customHeight="1" x14ac:dyDescent="0.2">
      <c r="A391" s="17"/>
      <c r="B391" s="16" t="s">
        <v>67</v>
      </c>
      <c r="C391" s="13">
        <v>2020</v>
      </c>
      <c r="D391" s="13"/>
      <c r="E391" s="13">
        <v>3996</v>
      </c>
      <c r="F391" s="13">
        <v>630</v>
      </c>
      <c r="G391" s="21">
        <v>184200</v>
      </c>
      <c r="H391" s="20"/>
      <c r="I391" s="19">
        <f>IF(2026-I$3&gt;IF($D391="",2026,$D391),IF(I$3=12,0.1*$G391,""),IF(2026-I$4&lt;$C391,"",I$4*$G391))</f>
        <v>18420</v>
      </c>
      <c r="J391" s="19">
        <f>IF(2026-J$3&gt;IF($D391="",2026,$D391),IF(J$3=12,0.1*$G391,""),IF(2026-J$4&lt;$C391,"",J$4*$G391))</f>
        <v>23946</v>
      </c>
      <c r="K391" s="19">
        <f>IF(2026-K$3&gt;IF($D391="",2026,$D391),IF(K$3=12,0.1*$G391,""),IF(2026-K$4&lt;$C391,"",K$4*$G391))</f>
        <v>31314.000000000004</v>
      </c>
      <c r="L391" s="19">
        <f>IF(2026-L$3&gt;IF($D391="",2026,$D391),IF(L$3=12,0.1*$G391,""),IF(2026-L$4&lt;$C391,"",L$4*$G391))</f>
        <v>34998</v>
      </c>
      <c r="M391" s="19">
        <f>IF(2026-M$3&gt;IF($D391="",2026,$D391),IF(M$3=12,0.1*$G391,""),IF(2026-M$4&lt;$C391,"",M$4*$G391))</f>
        <v>44208</v>
      </c>
      <c r="N391" s="19">
        <f>IF(2026-N$3&gt;IF($D391="",2026,$D391),IF(N$3=12,0.1*$G391,""),IF(2026-N$4&lt;$C391,"",N$4*$G391))</f>
        <v>51576.000000000007</v>
      </c>
      <c r="O391" s="19">
        <f>IF(2026-O$3&gt;IF($D391="",2026,$D391),IF(O$3=12,0.1*$G391,""),IF(2026-O$4&lt;$C391,"",O$4*$G391))</f>
        <v>62628.000000000007</v>
      </c>
      <c r="P391" s="19">
        <f>IF(2026-P$3&gt;IF($D391="",2026,$D391),IF(P$3=12,0.1*$G391,""),IF(2026-P$4&lt;$C391,"",P$4*$G391))</f>
        <v>71838</v>
      </c>
      <c r="Q391" s="19">
        <f>IF(2026-Q$3&gt;IF($D391="",2026,$D391),IF(Q$3=12,0.1*$G391,""),IF(2026-Q$4&lt;$C391,"",Q$4*$G391))</f>
        <v>86574</v>
      </c>
      <c r="R391" s="19">
        <f>IF(2026-R$3&gt;IF($D391="",2026,$D391),IF(R$3=12,0.1*$G391,""),IF(2026-R$4&lt;$C391,"",R$4*$G391))</f>
        <v>103152.00000000001</v>
      </c>
      <c r="S391" s="19">
        <f>IF(2026-S$3&gt;IF($D391="",2026,$D391),IF(S$3=12,0.1*$G391,""),IF(2026-S$4&lt;$C391,"",S$4*$G391))</f>
        <v>123414.00000000001</v>
      </c>
      <c r="T391" s="19">
        <f>IF(2026-T$3&gt;IF($D391="",2026,$D391),IF(T$3=12,0.1*$G391,""),IF(2026-T$4&lt;$C391,"",T$4*$G391))</f>
        <v>154728</v>
      </c>
    </row>
    <row r="392" spans="1:20" s="18" customFormat="1" ht="12" customHeight="1" x14ac:dyDescent="0.2">
      <c r="A392" s="17"/>
      <c r="B392" s="16" t="s">
        <v>66</v>
      </c>
      <c r="C392" s="13">
        <v>2020</v>
      </c>
      <c r="D392" s="13"/>
      <c r="E392" s="13">
        <v>3996</v>
      </c>
      <c r="F392" s="13">
        <v>630</v>
      </c>
      <c r="G392" s="21">
        <v>197500</v>
      </c>
      <c r="H392" s="20"/>
      <c r="I392" s="19">
        <f>IF(2026-I$3&gt;IF($D392="",2026,$D392),IF(I$3=12,0.1*$G392,""),IF(2026-I$4&lt;$C392,"",I$4*$G392))</f>
        <v>19750</v>
      </c>
      <c r="J392" s="19">
        <f>IF(2026-J$3&gt;IF($D392="",2026,$D392),IF(J$3=12,0.1*$G392,""),IF(2026-J$4&lt;$C392,"",J$4*$G392))</f>
        <v>25675</v>
      </c>
      <c r="K392" s="19">
        <f>IF(2026-K$3&gt;IF($D392="",2026,$D392),IF(K$3=12,0.1*$G392,""),IF(2026-K$4&lt;$C392,"",K$4*$G392))</f>
        <v>33575</v>
      </c>
      <c r="L392" s="19">
        <f>IF(2026-L$3&gt;IF($D392="",2026,$D392),IF(L$3=12,0.1*$G392,""),IF(2026-L$4&lt;$C392,"",L$4*$G392))</f>
        <v>37525</v>
      </c>
      <c r="M392" s="19">
        <f>IF(2026-M$3&gt;IF($D392="",2026,$D392),IF(M$3=12,0.1*$G392,""),IF(2026-M$4&lt;$C392,"",M$4*$G392))</f>
        <v>47400</v>
      </c>
      <c r="N392" s="19">
        <f>IF(2026-N$3&gt;IF($D392="",2026,$D392),IF(N$3=12,0.1*$G392,""),IF(2026-N$4&lt;$C392,"",N$4*$G392))</f>
        <v>55300.000000000007</v>
      </c>
      <c r="O392" s="19">
        <f>IF(2026-O$3&gt;IF($D392="",2026,$D392),IF(O$3=12,0.1*$G392,""),IF(2026-O$4&lt;$C392,"",O$4*$G392))</f>
        <v>67150</v>
      </c>
      <c r="P392" s="19">
        <f>IF(2026-P$3&gt;IF($D392="",2026,$D392),IF(P$3=12,0.1*$G392,""),IF(2026-P$4&lt;$C392,"",P$4*$G392))</f>
        <v>77025</v>
      </c>
      <c r="Q392" s="19">
        <f>IF(2026-Q$3&gt;IF($D392="",2026,$D392),IF(Q$3=12,0.1*$G392,""),IF(2026-Q$4&lt;$C392,"",Q$4*$G392))</f>
        <v>92825</v>
      </c>
      <c r="R392" s="19">
        <f>IF(2026-R$3&gt;IF($D392="",2026,$D392),IF(R$3=12,0.1*$G392,""),IF(2026-R$4&lt;$C392,"",R$4*$G392))</f>
        <v>110600.00000000001</v>
      </c>
      <c r="S392" s="19">
        <f>IF(2026-S$3&gt;IF($D392="",2026,$D392),IF(S$3=12,0.1*$G392,""),IF(2026-S$4&lt;$C392,"",S$4*$G392))</f>
        <v>132325</v>
      </c>
      <c r="T392" s="19">
        <f>IF(2026-T$3&gt;IF($D392="",2026,$D392),IF(T$3=12,0.1*$G392,""),IF(2026-T$4&lt;$C392,"",T$4*$G392))</f>
        <v>165900</v>
      </c>
    </row>
    <row r="393" spans="1:20" s="18" customFormat="1" ht="12" customHeight="1" x14ac:dyDescent="0.2">
      <c r="A393" s="17"/>
      <c r="B393" s="16" t="s">
        <v>65</v>
      </c>
      <c r="C393" s="13">
        <v>2020</v>
      </c>
      <c r="D393" s="13"/>
      <c r="E393" s="13">
        <v>3996</v>
      </c>
      <c r="F393" s="13">
        <v>630</v>
      </c>
      <c r="G393" s="21">
        <v>187100</v>
      </c>
      <c r="H393" s="20"/>
      <c r="I393" s="19">
        <f>IF(2026-I$3&gt;IF($D393="",2026,$D393),IF(I$3=12,0.1*$G393,""),IF(2026-I$4&lt;$C393,"",I$4*$G393))</f>
        <v>18710</v>
      </c>
      <c r="J393" s="19">
        <f>IF(2026-J$3&gt;IF($D393="",2026,$D393),IF(J$3=12,0.1*$G393,""),IF(2026-J$4&lt;$C393,"",J$4*$G393))</f>
        <v>24323</v>
      </c>
      <c r="K393" s="19">
        <f>IF(2026-K$3&gt;IF($D393="",2026,$D393),IF(K$3=12,0.1*$G393,""),IF(2026-K$4&lt;$C393,"",K$4*$G393))</f>
        <v>31807.000000000004</v>
      </c>
      <c r="L393" s="19">
        <f>IF(2026-L$3&gt;IF($D393="",2026,$D393),IF(L$3=12,0.1*$G393,""),IF(2026-L$4&lt;$C393,"",L$4*$G393))</f>
        <v>35549</v>
      </c>
      <c r="M393" s="19">
        <f>IF(2026-M$3&gt;IF($D393="",2026,$D393),IF(M$3=12,0.1*$G393,""),IF(2026-M$4&lt;$C393,"",M$4*$G393))</f>
        <v>44904</v>
      </c>
      <c r="N393" s="19">
        <f>IF(2026-N$3&gt;IF($D393="",2026,$D393),IF(N$3=12,0.1*$G393,""),IF(2026-N$4&lt;$C393,"",N$4*$G393))</f>
        <v>52388.000000000007</v>
      </c>
      <c r="O393" s="19">
        <f>IF(2026-O$3&gt;IF($D393="",2026,$D393),IF(O$3=12,0.1*$G393,""),IF(2026-O$4&lt;$C393,"",O$4*$G393))</f>
        <v>63614.000000000007</v>
      </c>
      <c r="P393" s="19">
        <f>IF(2026-P$3&gt;IF($D393="",2026,$D393),IF(P$3=12,0.1*$G393,""),IF(2026-P$4&lt;$C393,"",P$4*$G393))</f>
        <v>72969</v>
      </c>
      <c r="Q393" s="19">
        <f>IF(2026-Q$3&gt;IF($D393="",2026,$D393),IF(Q$3=12,0.1*$G393,""),IF(2026-Q$4&lt;$C393,"",Q$4*$G393))</f>
        <v>87937</v>
      </c>
      <c r="R393" s="19">
        <f>IF(2026-R$3&gt;IF($D393="",2026,$D393),IF(R$3=12,0.1*$G393,""),IF(2026-R$4&lt;$C393,"",R$4*$G393))</f>
        <v>104776.00000000001</v>
      </c>
      <c r="S393" s="19">
        <f>IF(2026-S$3&gt;IF($D393="",2026,$D393),IF(S$3=12,0.1*$G393,""),IF(2026-S$4&lt;$C393,"",S$4*$G393))</f>
        <v>125357.00000000001</v>
      </c>
      <c r="T393" s="19">
        <f>IF(2026-T$3&gt;IF($D393="",2026,$D393),IF(T$3=12,0.1*$G393,""),IF(2026-T$4&lt;$C393,"",T$4*$G393))</f>
        <v>157164</v>
      </c>
    </row>
    <row r="394" spans="1:20" s="18" customFormat="1" ht="12" customHeight="1" x14ac:dyDescent="0.2">
      <c r="A394" s="17"/>
      <c r="B394" s="16" t="s">
        <v>64</v>
      </c>
      <c r="C394" s="13">
        <v>2021</v>
      </c>
      <c r="D394" s="13"/>
      <c r="E394" s="13">
        <v>2894</v>
      </c>
      <c r="F394" s="13">
        <v>440</v>
      </c>
      <c r="G394" s="21">
        <v>117100</v>
      </c>
      <c r="H394" s="20"/>
      <c r="I394" s="19">
        <f>IF(2026-I$3&gt;IF($D394="",2026,$D394),IF(I$3=12,0.1*$G394,""),IF(2026-I$4&lt;$C394,"",I$4*$G394))</f>
        <v>11710</v>
      </c>
      <c r="J394" s="19">
        <f>IF(2026-J$3&gt;IF($D394="",2026,$D394),IF(J$3=12,0.1*$G394,""),IF(2026-J$4&lt;$C394,"",J$4*$G394))</f>
        <v>15223</v>
      </c>
      <c r="K394" s="19">
        <f>IF(2026-K$3&gt;IF($D394="",2026,$D394),IF(K$3=12,0.1*$G394,""),IF(2026-K$4&lt;$C394,"",K$4*$G394))</f>
        <v>19907</v>
      </c>
      <c r="L394" s="19">
        <f>IF(2026-L$3&gt;IF($D394="",2026,$D394),IF(L$3=12,0.1*$G394,""),IF(2026-L$4&lt;$C394,"",L$4*$G394))</f>
        <v>22249</v>
      </c>
      <c r="M394" s="19">
        <f>IF(2026-M$3&gt;IF($D394="",2026,$D394),IF(M$3=12,0.1*$G394,""),IF(2026-M$4&lt;$C394,"",M$4*$G394))</f>
        <v>28104</v>
      </c>
      <c r="N394" s="19">
        <f>IF(2026-N$3&gt;IF($D394="",2026,$D394),IF(N$3=12,0.1*$G394,""),IF(2026-N$4&lt;$C394,"",N$4*$G394))</f>
        <v>32788</v>
      </c>
      <c r="O394" s="19">
        <f>IF(2026-O$3&gt;IF($D394="",2026,$D394),IF(O$3=12,0.1*$G394,""),IF(2026-O$4&lt;$C394,"",O$4*$G394))</f>
        <v>39814</v>
      </c>
      <c r="P394" s="19">
        <f>IF(2026-P$3&gt;IF($D394="",2026,$D394),IF(P$3=12,0.1*$G394,""),IF(2026-P$4&lt;$C394,"",P$4*$G394))</f>
        <v>45669</v>
      </c>
      <c r="Q394" s="19">
        <f>IF(2026-Q$3&gt;IF($D394="",2026,$D394),IF(Q$3=12,0.1*$G394,""),IF(2026-Q$4&lt;$C394,"",Q$4*$G394))</f>
        <v>55037</v>
      </c>
      <c r="R394" s="19">
        <f>IF(2026-R$3&gt;IF($D394="",2026,$D394),IF(R$3=12,0.1*$G394,""),IF(2026-R$4&lt;$C394,"",R$4*$G394))</f>
        <v>65576</v>
      </c>
      <c r="S394" s="19">
        <f>IF(2026-S$3&gt;IF($D394="",2026,$D394),IF(S$3=12,0.1*$G394,""),IF(2026-S$4&lt;$C394,"",S$4*$G394))</f>
        <v>78457</v>
      </c>
      <c r="T394" s="19">
        <f>IF(2026-T$3&gt;IF($D394="",2026,$D394),IF(T$3=12,0.1*$G394,""),IF(2026-T$4&lt;$C394,"",T$4*$G394))</f>
        <v>98364</v>
      </c>
    </row>
    <row r="395" spans="1:20" s="18" customFormat="1" ht="12" customHeight="1" x14ac:dyDescent="0.2">
      <c r="A395" s="17"/>
      <c r="B395" s="16" t="s">
        <v>63</v>
      </c>
      <c r="C395" s="13">
        <v>2021</v>
      </c>
      <c r="D395" s="13"/>
      <c r="E395" s="13">
        <v>2894</v>
      </c>
      <c r="F395" s="13">
        <v>440</v>
      </c>
      <c r="G395" s="21">
        <v>130600</v>
      </c>
      <c r="H395" s="20"/>
      <c r="I395" s="19">
        <f>IF(2026-I$3&gt;IF($D395="",2026,$D395),IF(I$3=12,0.1*$G395,""),IF(2026-I$4&lt;$C395,"",I$4*$G395))</f>
        <v>13060</v>
      </c>
      <c r="J395" s="19">
        <f>IF(2026-J$3&gt;IF($D395="",2026,$D395),IF(J$3=12,0.1*$G395,""),IF(2026-J$4&lt;$C395,"",J$4*$G395))</f>
        <v>16978</v>
      </c>
      <c r="K395" s="19">
        <f>IF(2026-K$3&gt;IF($D395="",2026,$D395),IF(K$3=12,0.1*$G395,""),IF(2026-K$4&lt;$C395,"",K$4*$G395))</f>
        <v>22202</v>
      </c>
      <c r="L395" s="19">
        <f>IF(2026-L$3&gt;IF($D395="",2026,$D395),IF(L$3=12,0.1*$G395,""),IF(2026-L$4&lt;$C395,"",L$4*$G395))</f>
        <v>24814</v>
      </c>
      <c r="M395" s="19">
        <f>IF(2026-M$3&gt;IF($D395="",2026,$D395),IF(M$3=12,0.1*$G395,""),IF(2026-M$4&lt;$C395,"",M$4*$G395))</f>
        <v>31344</v>
      </c>
      <c r="N395" s="19">
        <f>IF(2026-N$3&gt;IF($D395="",2026,$D395),IF(N$3=12,0.1*$G395,""),IF(2026-N$4&lt;$C395,"",N$4*$G395))</f>
        <v>36568</v>
      </c>
      <c r="O395" s="19">
        <f>IF(2026-O$3&gt;IF($D395="",2026,$D395),IF(O$3=12,0.1*$G395,""),IF(2026-O$4&lt;$C395,"",O$4*$G395))</f>
        <v>44404</v>
      </c>
      <c r="P395" s="19">
        <f>IF(2026-P$3&gt;IF($D395="",2026,$D395),IF(P$3=12,0.1*$G395,""),IF(2026-P$4&lt;$C395,"",P$4*$G395))</f>
        <v>50934</v>
      </c>
      <c r="Q395" s="19">
        <f>IF(2026-Q$3&gt;IF($D395="",2026,$D395),IF(Q$3=12,0.1*$G395,""),IF(2026-Q$4&lt;$C395,"",Q$4*$G395))</f>
        <v>61382</v>
      </c>
      <c r="R395" s="19">
        <f>IF(2026-R$3&gt;IF($D395="",2026,$D395),IF(R$3=12,0.1*$G395,""),IF(2026-R$4&lt;$C395,"",R$4*$G395))</f>
        <v>73136</v>
      </c>
      <c r="S395" s="19">
        <f>IF(2026-S$3&gt;IF($D395="",2026,$D395),IF(S$3=12,0.1*$G395,""),IF(2026-S$4&lt;$C395,"",S$4*$G395))</f>
        <v>87502</v>
      </c>
      <c r="T395" s="19">
        <f>IF(2026-T$3&gt;IF($D395="",2026,$D395),IF(T$3=12,0.1*$G395,""),IF(2026-T$4&lt;$C395,"",T$4*$G395))</f>
        <v>109704</v>
      </c>
    </row>
    <row r="396" spans="1:20" s="18" customFormat="1" ht="12" customHeight="1" x14ac:dyDescent="0.2">
      <c r="A396" s="17"/>
      <c r="B396" s="16" t="s">
        <v>62</v>
      </c>
      <c r="C396" s="13">
        <v>2021</v>
      </c>
      <c r="D396" s="13"/>
      <c r="E396" s="13">
        <v>2894</v>
      </c>
      <c r="F396" s="13">
        <v>440</v>
      </c>
      <c r="G396" s="21">
        <v>125100</v>
      </c>
      <c r="H396" s="20"/>
      <c r="I396" s="19">
        <f>IF(2026-I$3&gt;IF($D396="",2026,$D396),IF(I$3=12,0.1*$G396,""),IF(2026-I$4&lt;$C396,"",I$4*$G396))</f>
        <v>12510</v>
      </c>
      <c r="J396" s="19">
        <f>IF(2026-J$3&gt;IF($D396="",2026,$D396),IF(J$3=12,0.1*$G396,""),IF(2026-J$4&lt;$C396,"",J$4*$G396))</f>
        <v>16263</v>
      </c>
      <c r="K396" s="19">
        <f>IF(2026-K$3&gt;IF($D396="",2026,$D396),IF(K$3=12,0.1*$G396,""),IF(2026-K$4&lt;$C396,"",K$4*$G396))</f>
        <v>21267</v>
      </c>
      <c r="L396" s="19">
        <f>IF(2026-L$3&gt;IF($D396="",2026,$D396),IF(L$3=12,0.1*$G396,""),IF(2026-L$4&lt;$C396,"",L$4*$G396))</f>
        <v>23769</v>
      </c>
      <c r="M396" s="19">
        <f>IF(2026-M$3&gt;IF($D396="",2026,$D396),IF(M$3=12,0.1*$G396,""),IF(2026-M$4&lt;$C396,"",M$4*$G396))</f>
        <v>30024</v>
      </c>
      <c r="N396" s="19">
        <f>IF(2026-N$3&gt;IF($D396="",2026,$D396),IF(N$3=12,0.1*$G396,""),IF(2026-N$4&lt;$C396,"",N$4*$G396))</f>
        <v>35028</v>
      </c>
      <c r="O396" s="19">
        <f>IF(2026-O$3&gt;IF($D396="",2026,$D396),IF(O$3=12,0.1*$G396,""),IF(2026-O$4&lt;$C396,"",O$4*$G396))</f>
        <v>42534</v>
      </c>
      <c r="P396" s="19">
        <f>IF(2026-P$3&gt;IF($D396="",2026,$D396),IF(P$3=12,0.1*$G396,""),IF(2026-P$4&lt;$C396,"",P$4*$G396))</f>
        <v>48789</v>
      </c>
      <c r="Q396" s="19">
        <f>IF(2026-Q$3&gt;IF($D396="",2026,$D396),IF(Q$3=12,0.1*$G396,""),IF(2026-Q$4&lt;$C396,"",Q$4*$G396))</f>
        <v>58797</v>
      </c>
      <c r="R396" s="19">
        <f>IF(2026-R$3&gt;IF($D396="",2026,$D396),IF(R$3=12,0.1*$G396,""),IF(2026-R$4&lt;$C396,"",R$4*$G396))</f>
        <v>70056</v>
      </c>
      <c r="S396" s="19">
        <f>IF(2026-S$3&gt;IF($D396="",2026,$D396),IF(S$3=12,0.1*$G396,""),IF(2026-S$4&lt;$C396,"",S$4*$G396))</f>
        <v>83817</v>
      </c>
      <c r="T396" s="19">
        <f>IF(2026-T$3&gt;IF($D396="",2026,$D396),IF(T$3=12,0.1*$G396,""),IF(2026-T$4&lt;$C396,"",T$4*$G396))</f>
        <v>105084</v>
      </c>
    </row>
    <row r="397" spans="1:20" s="18" customFormat="1" ht="12" customHeight="1" x14ac:dyDescent="0.2">
      <c r="A397" s="17"/>
      <c r="B397" s="16" t="s">
        <v>61</v>
      </c>
      <c r="C397" s="13">
        <v>2021</v>
      </c>
      <c r="D397" s="13"/>
      <c r="E397" s="13">
        <v>2894</v>
      </c>
      <c r="F397" s="13">
        <v>462</v>
      </c>
      <c r="G397" s="21">
        <v>103800</v>
      </c>
      <c r="H397" s="20"/>
      <c r="I397" s="19">
        <f>IF(2026-I$3&gt;IF($D397="",2026,$D397),IF(I$3=12,0.1*$G397,""),IF(2026-I$4&lt;$C397,"",I$4*$G397))</f>
        <v>10380</v>
      </c>
      <c r="J397" s="19">
        <f>IF(2026-J$3&gt;IF($D397="",2026,$D397),IF(J$3=12,0.1*$G397,""),IF(2026-J$4&lt;$C397,"",J$4*$G397))</f>
        <v>13494</v>
      </c>
      <c r="K397" s="19">
        <f>IF(2026-K$3&gt;IF($D397="",2026,$D397),IF(K$3=12,0.1*$G397,""),IF(2026-K$4&lt;$C397,"",K$4*$G397))</f>
        <v>17646</v>
      </c>
      <c r="L397" s="19">
        <f>IF(2026-L$3&gt;IF($D397="",2026,$D397),IF(L$3=12,0.1*$G397,""),IF(2026-L$4&lt;$C397,"",L$4*$G397))</f>
        <v>19722</v>
      </c>
      <c r="M397" s="19">
        <f>IF(2026-M$3&gt;IF($D397="",2026,$D397),IF(M$3=12,0.1*$G397,""),IF(2026-M$4&lt;$C397,"",M$4*$G397))</f>
        <v>24912</v>
      </c>
      <c r="N397" s="19">
        <f>IF(2026-N$3&gt;IF($D397="",2026,$D397),IF(N$3=12,0.1*$G397,""),IF(2026-N$4&lt;$C397,"",N$4*$G397))</f>
        <v>29064.000000000004</v>
      </c>
      <c r="O397" s="19">
        <f>IF(2026-O$3&gt;IF($D397="",2026,$D397),IF(O$3=12,0.1*$G397,""),IF(2026-O$4&lt;$C397,"",O$4*$G397))</f>
        <v>35292</v>
      </c>
      <c r="P397" s="19">
        <f>IF(2026-P$3&gt;IF($D397="",2026,$D397),IF(P$3=12,0.1*$G397,""),IF(2026-P$4&lt;$C397,"",P$4*$G397))</f>
        <v>40482</v>
      </c>
      <c r="Q397" s="19">
        <f>IF(2026-Q$3&gt;IF($D397="",2026,$D397),IF(Q$3=12,0.1*$G397,""),IF(2026-Q$4&lt;$C397,"",Q$4*$G397))</f>
        <v>48786</v>
      </c>
      <c r="R397" s="19">
        <f>IF(2026-R$3&gt;IF($D397="",2026,$D397),IF(R$3=12,0.1*$G397,""),IF(2026-R$4&lt;$C397,"",R$4*$G397))</f>
        <v>58128.000000000007</v>
      </c>
      <c r="S397" s="19">
        <f>IF(2026-S$3&gt;IF($D397="",2026,$D397),IF(S$3=12,0.1*$G397,""),IF(2026-S$4&lt;$C397,"",S$4*$G397))</f>
        <v>69546</v>
      </c>
      <c r="T397" s="19">
        <f>IF(2026-T$3&gt;IF($D397="",2026,$D397),IF(T$3=12,0.1*$G397,""),IF(2026-T$4&lt;$C397,"",T$4*$G397))</f>
        <v>87192</v>
      </c>
    </row>
    <row r="398" spans="1:20" s="18" customFormat="1" ht="12" customHeight="1" x14ac:dyDescent="0.2">
      <c r="A398" s="17"/>
      <c r="B398" s="16" t="s">
        <v>60</v>
      </c>
      <c r="C398" s="13">
        <v>2021</v>
      </c>
      <c r="D398" s="13"/>
      <c r="E398" s="13">
        <v>2894</v>
      </c>
      <c r="F398" s="13">
        <v>462</v>
      </c>
      <c r="G398" s="21">
        <v>110500</v>
      </c>
      <c r="H398" s="20"/>
      <c r="I398" s="19">
        <f>IF(2026-I$3&gt;IF($D398="",2026,$D398),IF(I$3=12,0.1*$G398,""),IF(2026-I$4&lt;$C398,"",I$4*$G398))</f>
        <v>11050</v>
      </c>
      <c r="J398" s="19">
        <f>IF(2026-J$3&gt;IF($D398="",2026,$D398),IF(J$3=12,0.1*$G398,""),IF(2026-J$4&lt;$C398,"",J$4*$G398))</f>
        <v>14365</v>
      </c>
      <c r="K398" s="19">
        <f>IF(2026-K$3&gt;IF($D398="",2026,$D398),IF(K$3=12,0.1*$G398,""),IF(2026-K$4&lt;$C398,"",K$4*$G398))</f>
        <v>18785</v>
      </c>
      <c r="L398" s="19">
        <f>IF(2026-L$3&gt;IF($D398="",2026,$D398),IF(L$3=12,0.1*$G398,""),IF(2026-L$4&lt;$C398,"",L$4*$G398))</f>
        <v>20995</v>
      </c>
      <c r="M398" s="19">
        <f>IF(2026-M$3&gt;IF($D398="",2026,$D398),IF(M$3=12,0.1*$G398,""),IF(2026-M$4&lt;$C398,"",M$4*$G398))</f>
        <v>26520</v>
      </c>
      <c r="N398" s="19">
        <f>IF(2026-N$3&gt;IF($D398="",2026,$D398),IF(N$3=12,0.1*$G398,""),IF(2026-N$4&lt;$C398,"",N$4*$G398))</f>
        <v>30940.000000000004</v>
      </c>
      <c r="O398" s="19">
        <f>IF(2026-O$3&gt;IF($D398="",2026,$D398),IF(O$3=12,0.1*$G398,""),IF(2026-O$4&lt;$C398,"",O$4*$G398))</f>
        <v>37570</v>
      </c>
      <c r="P398" s="19">
        <f>IF(2026-P$3&gt;IF($D398="",2026,$D398),IF(P$3=12,0.1*$G398,""),IF(2026-P$4&lt;$C398,"",P$4*$G398))</f>
        <v>43095</v>
      </c>
      <c r="Q398" s="19">
        <f>IF(2026-Q$3&gt;IF($D398="",2026,$D398),IF(Q$3=12,0.1*$G398,""),IF(2026-Q$4&lt;$C398,"",Q$4*$G398))</f>
        <v>51935</v>
      </c>
      <c r="R398" s="19">
        <f>IF(2026-R$3&gt;IF($D398="",2026,$D398),IF(R$3=12,0.1*$G398,""),IF(2026-R$4&lt;$C398,"",R$4*$G398))</f>
        <v>61880.000000000007</v>
      </c>
      <c r="S398" s="19">
        <f>IF(2026-S$3&gt;IF($D398="",2026,$D398),IF(S$3=12,0.1*$G398,""),IF(2026-S$4&lt;$C398,"",S$4*$G398))</f>
        <v>74035</v>
      </c>
      <c r="T398" s="19">
        <f>IF(2026-T$3&gt;IF($D398="",2026,$D398),IF(T$3=12,0.1*$G398,""),IF(2026-T$4&lt;$C398,"",T$4*$G398))</f>
        <v>92820</v>
      </c>
    </row>
    <row r="399" spans="1:20" s="18" customFormat="1" ht="12" customHeight="1" x14ac:dyDescent="0.2">
      <c r="A399" s="17"/>
      <c r="B399" s="16" t="s">
        <v>59</v>
      </c>
      <c r="C399" s="13">
        <v>2021</v>
      </c>
      <c r="D399" s="13"/>
      <c r="E399" s="13">
        <v>2894</v>
      </c>
      <c r="F399" s="13">
        <v>462</v>
      </c>
      <c r="G399" s="21">
        <v>106500</v>
      </c>
      <c r="H399" s="20"/>
      <c r="I399" s="19">
        <f>IF(2026-I$3&gt;IF($D399="",2026,$D399),IF(I$3=12,0.1*$G399,""),IF(2026-I$4&lt;$C399,"",I$4*$G399))</f>
        <v>10650</v>
      </c>
      <c r="J399" s="19">
        <f>IF(2026-J$3&gt;IF($D399="",2026,$D399),IF(J$3=12,0.1*$G399,""),IF(2026-J$4&lt;$C399,"",J$4*$G399))</f>
        <v>13845</v>
      </c>
      <c r="K399" s="19">
        <f>IF(2026-K$3&gt;IF($D399="",2026,$D399),IF(K$3=12,0.1*$G399,""),IF(2026-K$4&lt;$C399,"",K$4*$G399))</f>
        <v>18105</v>
      </c>
      <c r="L399" s="19">
        <f>IF(2026-L$3&gt;IF($D399="",2026,$D399),IF(L$3=12,0.1*$G399,""),IF(2026-L$4&lt;$C399,"",L$4*$G399))</f>
        <v>20235</v>
      </c>
      <c r="M399" s="19">
        <f>IF(2026-M$3&gt;IF($D399="",2026,$D399),IF(M$3=12,0.1*$G399,""),IF(2026-M$4&lt;$C399,"",M$4*$G399))</f>
        <v>25560</v>
      </c>
      <c r="N399" s="19">
        <f>IF(2026-N$3&gt;IF($D399="",2026,$D399),IF(N$3=12,0.1*$G399,""),IF(2026-N$4&lt;$C399,"",N$4*$G399))</f>
        <v>29820.000000000004</v>
      </c>
      <c r="O399" s="19">
        <f>IF(2026-O$3&gt;IF($D399="",2026,$D399),IF(O$3=12,0.1*$G399,""),IF(2026-O$4&lt;$C399,"",O$4*$G399))</f>
        <v>36210</v>
      </c>
      <c r="P399" s="19">
        <f>IF(2026-P$3&gt;IF($D399="",2026,$D399),IF(P$3=12,0.1*$G399,""),IF(2026-P$4&lt;$C399,"",P$4*$G399))</f>
        <v>41535</v>
      </c>
      <c r="Q399" s="19">
        <f>IF(2026-Q$3&gt;IF($D399="",2026,$D399),IF(Q$3=12,0.1*$G399,""),IF(2026-Q$4&lt;$C399,"",Q$4*$G399))</f>
        <v>50055</v>
      </c>
      <c r="R399" s="19">
        <f>IF(2026-R$3&gt;IF($D399="",2026,$D399),IF(R$3=12,0.1*$G399,""),IF(2026-R$4&lt;$C399,"",R$4*$G399))</f>
        <v>59640.000000000007</v>
      </c>
      <c r="S399" s="19">
        <f>IF(2026-S$3&gt;IF($D399="",2026,$D399),IF(S$3=12,0.1*$G399,""),IF(2026-S$4&lt;$C399,"",S$4*$G399))</f>
        <v>71355</v>
      </c>
      <c r="T399" s="19">
        <f>IF(2026-T$3&gt;IF($D399="",2026,$D399),IF(T$3=12,0.1*$G399,""),IF(2026-T$4&lt;$C399,"",T$4*$G399))</f>
        <v>89460</v>
      </c>
    </row>
    <row r="400" spans="1:20" s="18" customFormat="1" ht="12" customHeight="1" x14ac:dyDescent="0.2">
      <c r="A400" s="17"/>
      <c r="B400" s="16" t="s">
        <v>58</v>
      </c>
      <c r="C400" s="13">
        <v>2021</v>
      </c>
      <c r="D400" s="13"/>
      <c r="E400" s="13">
        <v>3996</v>
      </c>
      <c r="F400" s="13">
        <v>480</v>
      </c>
      <c r="G400" s="21">
        <v>146800</v>
      </c>
      <c r="H400" s="20"/>
      <c r="I400" s="19">
        <f>IF(2026-I$3&gt;IF($D400="",2026,$D400),IF(I$3=12,0.1*$G400,""),IF(2026-I$4&lt;$C400,"",I$4*$G400))</f>
        <v>14680</v>
      </c>
      <c r="J400" s="19">
        <f>IF(2026-J$3&gt;IF($D400="",2026,$D400),IF(J$3=12,0.1*$G400,""),IF(2026-J$4&lt;$C400,"",J$4*$G400))</f>
        <v>19084</v>
      </c>
      <c r="K400" s="19">
        <f>IF(2026-K$3&gt;IF($D400="",2026,$D400),IF(K$3=12,0.1*$G400,""),IF(2026-K$4&lt;$C400,"",K$4*$G400))</f>
        <v>24956</v>
      </c>
      <c r="L400" s="19">
        <f>IF(2026-L$3&gt;IF($D400="",2026,$D400),IF(L$3=12,0.1*$G400,""),IF(2026-L$4&lt;$C400,"",L$4*$G400))</f>
        <v>27892</v>
      </c>
      <c r="M400" s="19">
        <f>IF(2026-M$3&gt;IF($D400="",2026,$D400),IF(M$3=12,0.1*$G400,""),IF(2026-M$4&lt;$C400,"",M$4*$G400))</f>
        <v>35232</v>
      </c>
      <c r="N400" s="19">
        <f>IF(2026-N$3&gt;IF($D400="",2026,$D400),IF(N$3=12,0.1*$G400,""),IF(2026-N$4&lt;$C400,"",N$4*$G400))</f>
        <v>41104.000000000007</v>
      </c>
      <c r="O400" s="19">
        <f>IF(2026-O$3&gt;IF($D400="",2026,$D400),IF(O$3=12,0.1*$G400,""),IF(2026-O$4&lt;$C400,"",O$4*$G400))</f>
        <v>49912</v>
      </c>
      <c r="P400" s="19">
        <f>IF(2026-P$3&gt;IF($D400="",2026,$D400),IF(P$3=12,0.1*$G400,""),IF(2026-P$4&lt;$C400,"",P$4*$G400))</f>
        <v>57252</v>
      </c>
      <c r="Q400" s="19">
        <f>IF(2026-Q$3&gt;IF($D400="",2026,$D400),IF(Q$3=12,0.1*$G400,""),IF(2026-Q$4&lt;$C400,"",Q$4*$G400))</f>
        <v>68996</v>
      </c>
      <c r="R400" s="19">
        <f>IF(2026-R$3&gt;IF($D400="",2026,$D400),IF(R$3=12,0.1*$G400,""),IF(2026-R$4&lt;$C400,"",R$4*$G400))</f>
        <v>82208.000000000015</v>
      </c>
      <c r="S400" s="19">
        <f>IF(2026-S$3&gt;IF($D400="",2026,$D400),IF(S$3=12,0.1*$G400,""),IF(2026-S$4&lt;$C400,"",S$4*$G400))</f>
        <v>98356</v>
      </c>
      <c r="T400" s="19">
        <f>IF(2026-T$3&gt;IF($D400="",2026,$D400),IF(T$3=12,0.1*$G400,""),IF(2026-T$4&lt;$C400,"",T$4*$G400))</f>
        <v>123312</v>
      </c>
    </row>
    <row r="401" spans="1:21" s="18" customFormat="1" ht="12" customHeight="1" x14ac:dyDescent="0.2">
      <c r="A401" s="17"/>
      <c r="B401" s="16" t="s">
        <v>57</v>
      </c>
      <c r="C401" s="13">
        <v>2021</v>
      </c>
      <c r="D401" s="13"/>
      <c r="E401" s="13">
        <v>2894</v>
      </c>
      <c r="F401" s="13">
        <v>560</v>
      </c>
      <c r="G401" s="21">
        <v>122100</v>
      </c>
      <c r="H401" s="20"/>
      <c r="I401" s="19">
        <f>IF(2026-I$3&gt;IF($D401="",2026,$D401),IF(I$3=12,0.1*$G401,""),IF(2026-I$4&lt;$C401,"",I$4*$G401))</f>
        <v>12210</v>
      </c>
      <c r="J401" s="19">
        <f>IF(2026-J$3&gt;IF($D401="",2026,$D401),IF(J$3=12,0.1*$G401,""),IF(2026-J$4&lt;$C401,"",J$4*$G401))</f>
        <v>15873</v>
      </c>
      <c r="K401" s="19">
        <f>IF(2026-K$3&gt;IF($D401="",2026,$D401),IF(K$3=12,0.1*$G401,""),IF(2026-K$4&lt;$C401,"",K$4*$G401))</f>
        <v>20757</v>
      </c>
      <c r="L401" s="19">
        <f>IF(2026-L$3&gt;IF($D401="",2026,$D401),IF(L$3=12,0.1*$G401,""),IF(2026-L$4&lt;$C401,"",L$4*$G401))</f>
        <v>23199</v>
      </c>
      <c r="M401" s="19">
        <f>IF(2026-M$3&gt;IF($D401="",2026,$D401),IF(M$3=12,0.1*$G401,""),IF(2026-M$4&lt;$C401,"",M$4*$G401))</f>
        <v>29304</v>
      </c>
      <c r="N401" s="19">
        <f>IF(2026-N$3&gt;IF($D401="",2026,$D401),IF(N$3=12,0.1*$G401,""),IF(2026-N$4&lt;$C401,"",N$4*$G401))</f>
        <v>34188</v>
      </c>
      <c r="O401" s="19">
        <f>IF(2026-O$3&gt;IF($D401="",2026,$D401),IF(O$3=12,0.1*$G401,""),IF(2026-O$4&lt;$C401,"",O$4*$G401))</f>
        <v>41514</v>
      </c>
      <c r="P401" s="19">
        <f>IF(2026-P$3&gt;IF($D401="",2026,$D401),IF(P$3=12,0.1*$G401,""),IF(2026-P$4&lt;$C401,"",P$4*$G401))</f>
        <v>47619</v>
      </c>
      <c r="Q401" s="19">
        <f>IF(2026-Q$3&gt;IF($D401="",2026,$D401),IF(Q$3=12,0.1*$G401,""),IF(2026-Q$4&lt;$C401,"",Q$4*$G401))</f>
        <v>57387</v>
      </c>
      <c r="R401" s="19">
        <f>IF(2026-R$3&gt;IF($D401="",2026,$D401),IF(R$3=12,0.1*$G401,""),IF(2026-R$4&lt;$C401,"",R$4*$G401))</f>
        <v>68376</v>
      </c>
      <c r="S401" s="19">
        <f>IF(2026-S$3&gt;IF($D401="",2026,$D401),IF(S$3=12,0.1*$G401,""),IF(2026-S$4&lt;$C401,"",S$4*$G401))</f>
        <v>81807</v>
      </c>
      <c r="T401" s="19">
        <f>IF(2026-T$3&gt;IF($D401="",2026,$D401),IF(T$3=12,0.1*$G401,""),IF(2026-T$4&lt;$C401,"",T$4*$G401))</f>
        <v>102564</v>
      </c>
    </row>
    <row r="402" spans="1:21" s="18" customFormat="1" ht="12" customHeight="1" x14ac:dyDescent="0.2">
      <c r="A402" s="17"/>
      <c r="B402" s="16" t="s">
        <v>56</v>
      </c>
      <c r="C402" s="13">
        <v>2021</v>
      </c>
      <c r="D402" s="13"/>
      <c r="E402" s="13">
        <v>3996</v>
      </c>
      <c r="F402" s="13">
        <v>700</v>
      </c>
      <c r="G402" s="21">
        <v>173900</v>
      </c>
      <c r="H402" s="20"/>
      <c r="I402" s="19">
        <f>IF(2026-I$3&gt;IF($D402="",2026,$D402),IF(I$3=12,0.1*$G402,""),IF(2026-I$4&lt;$C402,"",I$4*$G402))</f>
        <v>17390</v>
      </c>
      <c r="J402" s="19">
        <f>IF(2026-J$3&gt;IF($D402="",2026,$D402),IF(J$3=12,0.1*$G402,""),IF(2026-J$4&lt;$C402,"",J$4*$G402))</f>
        <v>22607</v>
      </c>
      <c r="K402" s="19">
        <f>IF(2026-K$3&gt;IF($D402="",2026,$D402),IF(K$3=12,0.1*$G402,""),IF(2026-K$4&lt;$C402,"",K$4*$G402))</f>
        <v>29563.000000000004</v>
      </c>
      <c r="L402" s="19">
        <f>IF(2026-L$3&gt;IF($D402="",2026,$D402),IF(L$3=12,0.1*$G402,""),IF(2026-L$4&lt;$C402,"",L$4*$G402))</f>
        <v>33041</v>
      </c>
      <c r="M402" s="19">
        <f>IF(2026-M$3&gt;IF($D402="",2026,$D402),IF(M$3=12,0.1*$G402,""),IF(2026-M$4&lt;$C402,"",M$4*$G402))</f>
        <v>41736</v>
      </c>
      <c r="N402" s="19">
        <f>IF(2026-N$3&gt;IF($D402="",2026,$D402),IF(N$3=12,0.1*$G402,""),IF(2026-N$4&lt;$C402,"",N$4*$G402))</f>
        <v>48692.000000000007</v>
      </c>
      <c r="O402" s="19">
        <f>IF(2026-O$3&gt;IF($D402="",2026,$D402),IF(O$3=12,0.1*$G402,""),IF(2026-O$4&lt;$C402,"",O$4*$G402))</f>
        <v>59126.000000000007</v>
      </c>
      <c r="P402" s="19">
        <f>IF(2026-P$3&gt;IF($D402="",2026,$D402),IF(P$3=12,0.1*$G402,""),IF(2026-P$4&lt;$C402,"",P$4*$G402))</f>
        <v>67821</v>
      </c>
      <c r="Q402" s="19">
        <f>IF(2026-Q$3&gt;IF($D402="",2026,$D402),IF(Q$3=12,0.1*$G402,""),IF(2026-Q$4&lt;$C402,"",Q$4*$G402))</f>
        <v>81733</v>
      </c>
      <c r="R402" s="19">
        <f>IF(2026-R$3&gt;IF($D402="",2026,$D402),IF(R$3=12,0.1*$G402,""),IF(2026-R$4&lt;$C402,"",R$4*$G402))</f>
        <v>97384.000000000015</v>
      </c>
      <c r="S402" s="19">
        <f>IF(2026-S$3&gt;IF($D402="",2026,$D402),IF(S$3=12,0.1*$G402,""),IF(2026-S$4&lt;$C402,"",S$4*$G402))</f>
        <v>116513</v>
      </c>
      <c r="T402" s="19">
        <f>IF(2026-T$3&gt;IF($D402="",2026,$D402),IF(T$3=12,0.1*$G402,""),IF(2026-T$4&lt;$C402,"",T$4*$G402))</f>
        <v>146076</v>
      </c>
    </row>
    <row r="403" spans="1:21" s="18" customFormat="1" ht="12" customHeight="1" x14ac:dyDescent="0.2">
      <c r="A403" s="17"/>
      <c r="B403" s="16" t="s">
        <v>55</v>
      </c>
      <c r="C403" s="13">
        <v>2021</v>
      </c>
      <c r="D403" s="13"/>
      <c r="E403" s="13">
        <v>3996</v>
      </c>
      <c r="F403" s="13">
        <v>700</v>
      </c>
      <c r="G403" s="21">
        <v>186000</v>
      </c>
      <c r="H403" s="20"/>
      <c r="I403" s="19">
        <f>IF(2026-I$3&gt;IF($D403="",2026,$D403),IF(I$3=12,0.1*$G403,""),IF(2026-I$4&lt;$C403,"",I$4*$G403))</f>
        <v>18600</v>
      </c>
      <c r="J403" s="19">
        <f>IF(2026-J$3&gt;IF($D403="",2026,$D403),IF(J$3=12,0.1*$G403,""),IF(2026-J$4&lt;$C403,"",J$4*$G403))</f>
        <v>24180</v>
      </c>
      <c r="K403" s="19">
        <f>IF(2026-K$3&gt;IF($D403="",2026,$D403),IF(K$3=12,0.1*$G403,""),IF(2026-K$4&lt;$C403,"",K$4*$G403))</f>
        <v>31620.000000000004</v>
      </c>
      <c r="L403" s="19">
        <f>IF(2026-L$3&gt;IF($D403="",2026,$D403),IF(L$3=12,0.1*$G403,""),IF(2026-L$4&lt;$C403,"",L$4*$G403))</f>
        <v>35340</v>
      </c>
      <c r="M403" s="19">
        <f>IF(2026-M$3&gt;IF($D403="",2026,$D403),IF(M$3=12,0.1*$G403,""),IF(2026-M$4&lt;$C403,"",M$4*$G403))</f>
        <v>44640</v>
      </c>
      <c r="N403" s="19">
        <f>IF(2026-N$3&gt;IF($D403="",2026,$D403),IF(N$3=12,0.1*$G403,""),IF(2026-N$4&lt;$C403,"",N$4*$G403))</f>
        <v>52080.000000000007</v>
      </c>
      <c r="O403" s="19">
        <f>IF(2026-O$3&gt;IF($D403="",2026,$D403),IF(O$3=12,0.1*$G403,""),IF(2026-O$4&lt;$C403,"",O$4*$G403))</f>
        <v>63240.000000000007</v>
      </c>
      <c r="P403" s="19">
        <f>IF(2026-P$3&gt;IF($D403="",2026,$D403),IF(P$3=12,0.1*$G403,""),IF(2026-P$4&lt;$C403,"",P$4*$G403))</f>
        <v>72540</v>
      </c>
      <c r="Q403" s="19">
        <f>IF(2026-Q$3&gt;IF($D403="",2026,$D403),IF(Q$3=12,0.1*$G403,""),IF(2026-Q$4&lt;$C403,"",Q$4*$G403))</f>
        <v>87420</v>
      </c>
      <c r="R403" s="19">
        <f>IF(2026-R$3&gt;IF($D403="",2026,$D403),IF(R$3=12,0.1*$G403,""),IF(2026-R$4&lt;$C403,"",R$4*$G403))</f>
        <v>104160.00000000001</v>
      </c>
      <c r="S403" s="19">
        <f>IF(2026-S$3&gt;IF($D403="",2026,$D403),IF(S$3=12,0.1*$G403,""),IF(2026-S$4&lt;$C403,"",S$4*$G403))</f>
        <v>124620.00000000001</v>
      </c>
      <c r="T403" s="19">
        <f>IF(2026-T$3&gt;IF($D403="",2026,$D403),IF(T$3=12,0.1*$G403,""),IF(2026-T$4&lt;$C403,"",T$4*$G403))</f>
        <v>156240</v>
      </c>
    </row>
    <row r="404" spans="1:21" s="18" customFormat="1" ht="12" customHeight="1" x14ac:dyDescent="0.2">
      <c r="A404" s="17"/>
      <c r="B404" s="16" t="s">
        <v>54</v>
      </c>
      <c r="C404" s="13">
        <v>2021</v>
      </c>
      <c r="D404" s="13"/>
      <c r="E404" s="13">
        <v>3996</v>
      </c>
      <c r="F404" s="13">
        <v>700</v>
      </c>
      <c r="G404" s="21">
        <v>177800</v>
      </c>
      <c r="H404" s="20"/>
      <c r="I404" s="19">
        <f>IF(2026-I$3&gt;IF($D404="",2026,$D404),IF(I$3=12,0.1*$G404,""),IF(2026-I$4&lt;$C404,"",I$4*$G404))</f>
        <v>17780</v>
      </c>
      <c r="J404" s="19">
        <f>IF(2026-J$3&gt;IF($D404="",2026,$D404),IF(J$3=12,0.1*$G404,""),IF(2026-J$4&lt;$C404,"",J$4*$G404))</f>
        <v>23114</v>
      </c>
      <c r="K404" s="19">
        <f>IF(2026-K$3&gt;IF($D404="",2026,$D404),IF(K$3=12,0.1*$G404,""),IF(2026-K$4&lt;$C404,"",K$4*$G404))</f>
        <v>30226.000000000004</v>
      </c>
      <c r="L404" s="19">
        <f>IF(2026-L$3&gt;IF($D404="",2026,$D404),IF(L$3=12,0.1*$G404,""),IF(2026-L$4&lt;$C404,"",L$4*$G404))</f>
        <v>33782</v>
      </c>
      <c r="M404" s="19">
        <f>IF(2026-M$3&gt;IF($D404="",2026,$D404),IF(M$3=12,0.1*$G404,""),IF(2026-M$4&lt;$C404,"",M$4*$G404))</f>
        <v>42672</v>
      </c>
      <c r="N404" s="19">
        <f>IF(2026-N$3&gt;IF($D404="",2026,$D404),IF(N$3=12,0.1*$G404,""),IF(2026-N$4&lt;$C404,"",N$4*$G404))</f>
        <v>49784.000000000007</v>
      </c>
      <c r="O404" s="19">
        <f>IF(2026-O$3&gt;IF($D404="",2026,$D404),IF(O$3=12,0.1*$G404,""),IF(2026-O$4&lt;$C404,"",O$4*$G404))</f>
        <v>60452.000000000007</v>
      </c>
      <c r="P404" s="19">
        <f>IF(2026-P$3&gt;IF($D404="",2026,$D404),IF(P$3=12,0.1*$G404,""),IF(2026-P$4&lt;$C404,"",P$4*$G404))</f>
        <v>69342</v>
      </c>
      <c r="Q404" s="19">
        <f>IF(2026-Q$3&gt;IF($D404="",2026,$D404),IF(Q$3=12,0.1*$G404,""),IF(2026-Q$4&lt;$C404,"",Q$4*$G404))</f>
        <v>83566</v>
      </c>
      <c r="R404" s="19">
        <f>IF(2026-R$3&gt;IF($D404="",2026,$D404),IF(R$3=12,0.1*$G404,""),IF(2026-R$4&lt;$C404,"",R$4*$G404))</f>
        <v>99568.000000000015</v>
      </c>
      <c r="S404" s="19">
        <f>IF(2026-S$3&gt;IF($D404="",2026,$D404),IF(S$3=12,0.1*$G404,""),IF(2026-S$4&lt;$C404,"",S$4*$G404))</f>
        <v>119126</v>
      </c>
      <c r="T404" s="19">
        <f>IF(2026-T$3&gt;IF($D404="",2026,$D404),IF(T$3=12,0.1*$G404,""),IF(2026-T$4&lt;$C404,"",T$4*$G404))</f>
        <v>149352</v>
      </c>
    </row>
    <row r="405" spans="1:21" s="18" customFormat="1" ht="12" customHeight="1" x14ac:dyDescent="0.2">
      <c r="A405" s="17"/>
      <c r="B405" s="16"/>
      <c r="C405" s="13"/>
      <c r="D405" s="13"/>
      <c r="E405" s="13"/>
      <c r="F405" s="13"/>
      <c r="G405" s="21"/>
      <c r="H405" s="20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1" s="18" customFormat="1" ht="12" customHeight="1" x14ac:dyDescent="0.2">
      <c r="A406" s="17"/>
      <c r="B406" s="16" t="s">
        <v>53</v>
      </c>
      <c r="C406" s="13">
        <v>2019</v>
      </c>
      <c r="D406" s="13"/>
      <c r="E406" s="13"/>
      <c r="F406" s="13">
        <v>530</v>
      </c>
      <c r="G406" s="21">
        <v>93400</v>
      </c>
      <c r="H406" s="20"/>
      <c r="I406" s="19">
        <f>IF(2026-I$3&gt;IF($D406="",2026,$D406),IF(I$3=12,0.1*$G406,""),IF(2026-I$4&lt;$C406,"",I$4*$G406))</f>
        <v>9340</v>
      </c>
      <c r="J406" s="19">
        <f>IF(2026-J$3&gt;IF($D406="",2026,$D406),IF(J$3=12,0.1*$G406,""),IF(2026-J$4&lt;$C406,"",J$4*$G406))</f>
        <v>12142</v>
      </c>
      <c r="K406" s="19">
        <f>IF(2026-K$3&gt;IF($D406="",2026,$D406),IF(K$3=12,0.1*$G406,""),IF(2026-K$4&lt;$C406,"",K$4*$G406))</f>
        <v>15878.000000000002</v>
      </c>
      <c r="L406" s="19">
        <f>IF(2026-L$3&gt;IF($D406="",2026,$D406),IF(L$3=12,0.1*$G406,""),IF(2026-L$4&lt;$C406,"",L$4*$G406))</f>
        <v>17746</v>
      </c>
      <c r="M406" s="19">
        <f>IF(2026-M$3&gt;IF($D406="",2026,$D406),IF(M$3=12,0.1*$G406,""),IF(2026-M$4&lt;$C406,"",M$4*$G406))</f>
        <v>22416</v>
      </c>
      <c r="N406" s="19">
        <f>IF(2026-N$3&gt;IF($D406="",2026,$D406),IF(N$3=12,0.1*$G406,""),IF(2026-N$4&lt;$C406,"",N$4*$G406))</f>
        <v>26152.000000000004</v>
      </c>
      <c r="O406" s="19">
        <f>IF(2026-O$3&gt;IF($D406="",2026,$D406),IF(O$3=12,0.1*$G406,""),IF(2026-O$4&lt;$C406,"",O$4*$G406))</f>
        <v>31756.000000000004</v>
      </c>
      <c r="P406" s="19">
        <f>IF(2026-P$3&gt;IF($D406="",2026,$D406),IF(P$3=12,0.1*$G406,""),IF(2026-P$4&lt;$C406,"",P$4*$G406))</f>
        <v>36426</v>
      </c>
      <c r="Q406" s="19">
        <f>IF(2026-Q$3&gt;IF($D406="",2026,$D406),IF(Q$3=12,0.1*$G406,""),IF(2026-Q$4&lt;$C406,"",Q$4*$G406))</f>
        <v>43898</v>
      </c>
      <c r="R406" s="19">
        <f>IF(2026-R$3&gt;IF($D406="",2026,$D406),IF(R$3=12,0.1*$G406,""),IF(2026-R$4&lt;$C406,"",R$4*$G406))</f>
        <v>52304.000000000007</v>
      </c>
      <c r="S406" s="19">
        <f>IF(2026-S$3&gt;IF($D406="",2026,$D406),IF(S$3=12,0.1*$G406,""),IF(2026-S$4&lt;$C406,"",S$4*$G406))</f>
        <v>62578.000000000007</v>
      </c>
      <c r="T406" s="19">
        <f>IF(2026-T$3&gt;IF($D406="",2026,$D406),IF(T$3=12,0.1*$G406,""),IF(2026-T$4&lt;$C406,"",T$4*$G406))</f>
        <v>78456</v>
      </c>
    </row>
    <row r="407" spans="1:21" s="18" customFormat="1" ht="12" customHeight="1" x14ac:dyDescent="0.2">
      <c r="A407" s="17"/>
      <c r="B407" s="16" t="s">
        <v>52</v>
      </c>
      <c r="C407" s="13">
        <v>2020</v>
      </c>
      <c r="D407" s="13"/>
      <c r="E407" s="13"/>
      <c r="F407" s="13">
        <v>530</v>
      </c>
      <c r="G407" s="21">
        <v>94900</v>
      </c>
      <c r="H407" s="20"/>
      <c r="I407" s="19">
        <f>IF(2026-I$3&gt;IF($D407="",2026,$D407),IF(I$3=12,0.1*$G407,""),IF(2026-I$4&lt;$C407,"",I$4*$G407))</f>
        <v>9490</v>
      </c>
      <c r="J407" s="19">
        <f>IF(2026-J$3&gt;IF($D407="",2026,$D407),IF(J$3=12,0.1*$G407,""),IF(2026-J$4&lt;$C407,"",J$4*$G407))</f>
        <v>12337</v>
      </c>
      <c r="K407" s="19">
        <f>IF(2026-K$3&gt;IF($D407="",2026,$D407),IF(K$3=12,0.1*$G407,""),IF(2026-K$4&lt;$C407,"",K$4*$G407))</f>
        <v>16133.000000000002</v>
      </c>
      <c r="L407" s="19">
        <f>IF(2026-L$3&gt;IF($D407="",2026,$D407),IF(L$3=12,0.1*$G407,""),IF(2026-L$4&lt;$C407,"",L$4*$G407))</f>
        <v>18031</v>
      </c>
      <c r="M407" s="19">
        <f>IF(2026-M$3&gt;IF($D407="",2026,$D407),IF(M$3=12,0.1*$G407,""),IF(2026-M$4&lt;$C407,"",M$4*$G407))</f>
        <v>22776</v>
      </c>
      <c r="N407" s="19">
        <f>IF(2026-N$3&gt;IF($D407="",2026,$D407),IF(N$3=12,0.1*$G407,""),IF(2026-N$4&lt;$C407,"",N$4*$G407))</f>
        <v>26572.000000000004</v>
      </c>
      <c r="O407" s="19">
        <f>IF(2026-O$3&gt;IF($D407="",2026,$D407),IF(O$3=12,0.1*$G407,""),IF(2026-O$4&lt;$C407,"",O$4*$G407))</f>
        <v>32266.000000000004</v>
      </c>
      <c r="P407" s="19">
        <f>IF(2026-P$3&gt;IF($D407="",2026,$D407),IF(P$3=12,0.1*$G407,""),IF(2026-P$4&lt;$C407,"",P$4*$G407))</f>
        <v>37011</v>
      </c>
      <c r="Q407" s="19">
        <f>IF(2026-Q$3&gt;IF($D407="",2026,$D407),IF(Q$3=12,0.1*$G407,""),IF(2026-Q$4&lt;$C407,"",Q$4*$G407))</f>
        <v>44603</v>
      </c>
      <c r="R407" s="19">
        <f>IF(2026-R$3&gt;IF($D407="",2026,$D407),IF(R$3=12,0.1*$G407,""),IF(2026-R$4&lt;$C407,"",R$4*$G407))</f>
        <v>53144.000000000007</v>
      </c>
      <c r="S407" s="19">
        <f>IF(2026-S$3&gt;IF($D407="",2026,$D407),IF(S$3=12,0.1*$G407,""),IF(2026-S$4&lt;$C407,"",S$4*$G407))</f>
        <v>63583.000000000007</v>
      </c>
      <c r="T407" s="19">
        <f>IF(2026-T$3&gt;IF($D407="",2026,$D407),IF(T$3=12,0.1*$G407,""),IF(2026-T$4&lt;$C407,"",T$4*$G407))</f>
        <v>79716</v>
      </c>
    </row>
    <row r="408" spans="1:21" s="18" customFormat="1" ht="12" customHeight="1" x14ac:dyDescent="0.2">
      <c r="A408" s="17"/>
      <c r="B408" s="16" t="s">
        <v>51</v>
      </c>
      <c r="C408" s="13">
        <v>2020</v>
      </c>
      <c r="D408" s="13"/>
      <c r="E408" s="13"/>
      <c r="F408" s="13">
        <v>680</v>
      </c>
      <c r="G408" s="21">
        <v>136100</v>
      </c>
      <c r="H408" s="20"/>
      <c r="I408" s="19">
        <f>IF(2026-I$3&gt;IF($D408="",2026,$D408),IF(I$3=12,0.1*$G408,""),IF(2026-I$4&lt;$C408,"",I$4*$G408))</f>
        <v>13610</v>
      </c>
      <c r="J408" s="19">
        <f>IF(2026-J$3&gt;IF($D408="",2026,$D408),IF(J$3=12,0.1*$G408,""),IF(2026-J$4&lt;$C408,"",J$4*$G408))</f>
        <v>17693</v>
      </c>
      <c r="K408" s="19">
        <f>IF(2026-K$3&gt;IF($D408="",2026,$D408),IF(K$3=12,0.1*$G408,""),IF(2026-K$4&lt;$C408,"",K$4*$G408))</f>
        <v>23137</v>
      </c>
      <c r="L408" s="19">
        <f>IF(2026-L$3&gt;IF($D408="",2026,$D408),IF(L$3=12,0.1*$G408,""),IF(2026-L$4&lt;$C408,"",L$4*$G408))</f>
        <v>25859</v>
      </c>
      <c r="M408" s="19">
        <f>IF(2026-M$3&gt;IF($D408="",2026,$D408),IF(M$3=12,0.1*$G408,""),IF(2026-M$4&lt;$C408,"",M$4*$G408))</f>
        <v>32664</v>
      </c>
      <c r="N408" s="19">
        <f>IF(2026-N$3&gt;IF($D408="",2026,$D408),IF(N$3=12,0.1*$G408,""),IF(2026-N$4&lt;$C408,"",N$4*$G408))</f>
        <v>38108</v>
      </c>
      <c r="O408" s="19">
        <f>IF(2026-O$3&gt;IF($D408="",2026,$D408),IF(O$3=12,0.1*$G408,""),IF(2026-O$4&lt;$C408,"",O$4*$G408))</f>
        <v>46274</v>
      </c>
      <c r="P408" s="19">
        <f>IF(2026-P$3&gt;IF($D408="",2026,$D408),IF(P$3=12,0.1*$G408,""),IF(2026-P$4&lt;$C408,"",P$4*$G408))</f>
        <v>53079</v>
      </c>
      <c r="Q408" s="19">
        <f>IF(2026-Q$3&gt;IF($D408="",2026,$D408),IF(Q$3=12,0.1*$G408,""),IF(2026-Q$4&lt;$C408,"",Q$4*$G408))</f>
        <v>63967</v>
      </c>
      <c r="R408" s="19">
        <f>IF(2026-R$3&gt;IF($D408="",2026,$D408),IF(R$3=12,0.1*$G408,""),IF(2026-R$4&lt;$C408,"",R$4*$G408))</f>
        <v>76216</v>
      </c>
      <c r="S408" s="19">
        <f>IF(2026-S$3&gt;IF($D408="",2026,$D408),IF(S$3=12,0.1*$G408,""),IF(2026-S$4&lt;$C408,"",S$4*$G408))</f>
        <v>91187</v>
      </c>
      <c r="T408" s="19">
        <f>IF(2026-T$3&gt;IF($D408="",2026,$D408),IF(T$3=12,0.1*$G408,""),IF(2026-T$4&lt;$C408,"",T$4*$G408))</f>
        <v>114324</v>
      </c>
    </row>
    <row r="409" spans="1:21" s="18" customFormat="1" ht="12" customHeight="1" x14ac:dyDescent="0.2">
      <c r="A409" s="17"/>
      <c r="B409" s="16" t="s">
        <v>50</v>
      </c>
      <c r="C409" s="13">
        <v>2020</v>
      </c>
      <c r="D409" s="13"/>
      <c r="E409" s="13"/>
      <c r="F409" s="13">
        <v>761</v>
      </c>
      <c r="G409" s="21">
        <v>165500</v>
      </c>
      <c r="H409" s="20"/>
      <c r="I409" s="19">
        <f>IF(2026-I$3&gt;IF($D409="",2026,$D409),IF(I$3=12,0.1*$G409,""),IF(2026-I$4&lt;$C409,"",I$4*$G409))</f>
        <v>16550</v>
      </c>
      <c r="J409" s="19">
        <f>IF(2026-J$3&gt;IF($D409="",2026,$D409),IF(J$3=12,0.1*$G409,""),IF(2026-J$4&lt;$C409,"",J$4*$G409))</f>
        <v>21515</v>
      </c>
      <c r="K409" s="19">
        <f>IF(2026-K$3&gt;IF($D409="",2026,$D409),IF(K$3=12,0.1*$G409,""),IF(2026-K$4&lt;$C409,"",K$4*$G409))</f>
        <v>28135.000000000004</v>
      </c>
      <c r="L409" s="19">
        <f>IF(2026-L$3&gt;IF($D409="",2026,$D409),IF(L$3=12,0.1*$G409,""),IF(2026-L$4&lt;$C409,"",L$4*$G409))</f>
        <v>31445</v>
      </c>
      <c r="M409" s="19">
        <f>IF(2026-M$3&gt;IF($D409="",2026,$D409),IF(M$3=12,0.1*$G409,""),IF(2026-M$4&lt;$C409,"",M$4*$G409))</f>
        <v>39720</v>
      </c>
      <c r="N409" s="19">
        <f>IF(2026-N$3&gt;IF($D409="",2026,$D409),IF(N$3=12,0.1*$G409,""),IF(2026-N$4&lt;$C409,"",N$4*$G409))</f>
        <v>46340.000000000007</v>
      </c>
      <c r="O409" s="19">
        <f>IF(2026-O$3&gt;IF($D409="",2026,$D409),IF(O$3=12,0.1*$G409,""),IF(2026-O$4&lt;$C409,"",O$4*$G409))</f>
        <v>56270.000000000007</v>
      </c>
      <c r="P409" s="19">
        <f>IF(2026-P$3&gt;IF($D409="",2026,$D409),IF(P$3=12,0.1*$G409,""),IF(2026-P$4&lt;$C409,"",P$4*$G409))</f>
        <v>64545</v>
      </c>
      <c r="Q409" s="19">
        <f>IF(2026-Q$3&gt;IF($D409="",2026,$D409),IF(Q$3=12,0.1*$G409,""),IF(2026-Q$4&lt;$C409,"",Q$4*$G409))</f>
        <v>77785</v>
      </c>
      <c r="R409" s="19">
        <f>IF(2026-R$3&gt;IF($D409="",2026,$D409),IF(R$3=12,0.1*$G409,""),IF(2026-R$4&lt;$C409,"",R$4*$G409))</f>
        <v>92680.000000000015</v>
      </c>
      <c r="S409" s="19">
        <f>IF(2026-S$3&gt;IF($D409="",2026,$D409),IF(S$3=12,0.1*$G409,""),IF(2026-S$4&lt;$C409,"",S$4*$G409))</f>
        <v>110885</v>
      </c>
      <c r="T409" s="19">
        <f>IF(2026-T$3&gt;IF($D409="",2026,$D409),IF(T$3=12,0.1*$G409,""),IF(2026-T$4&lt;$C409,"",T$4*$G409))</f>
        <v>139020</v>
      </c>
    </row>
    <row r="410" spans="1:21" s="18" customFormat="1" ht="12" customHeight="1" x14ac:dyDescent="0.2">
      <c r="A410" s="17"/>
      <c r="B410" s="16" t="s">
        <v>49</v>
      </c>
      <c r="C410" s="13">
        <v>2021</v>
      </c>
      <c r="D410" s="13"/>
      <c r="E410" s="13"/>
      <c r="F410" s="13">
        <v>408</v>
      </c>
      <c r="G410" s="21">
        <v>75700</v>
      </c>
      <c r="H410" s="20"/>
      <c r="I410" s="19">
        <f>IF(2026-I$3&gt;IF($D410="",2026,$D410),IF(I$3=12,0.1*$G410,""),IF(2026-I$4&lt;$C410,"",I$4*$G410))</f>
        <v>7570</v>
      </c>
      <c r="J410" s="19">
        <f>IF(2026-J$3&gt;IF($D410="",2026,$D410),IF(J$3=12,0.1*$G410,""),IF(2026-J$4&lt;$C410,"",J$4*$G410))</f>
        <v>9841</v>
      </c>
      <c r="K410" s="19">
        <f>IF(2026-K$3&gt;IF($D410="",2026,$D410),IF(K$3=12,0.1*$G410,""),IF(2026-K$4&lt;$C410,"",K$4*$G410))</f>
        <v>12869.000000000002</v>
      </c>
      <c r="L410" s="19">
        <f>IF(2026-L$3&gt;IF($D410="",2026,$D410),IF(L$3=12,0.1*$G410,""),IF(2026-L$4&lt;$C410,"",L$4*$G410))</f>
        <v>14383</v>
      </c>
      <c r="M410" s="19">
        <f>IF(2026-M$3&gt;IF($D410="",2026,$D410),IF(M$3=12,0.1*$G410,""),IF(2026-M$4&lt;$C410,"",M$4*$G410))</f>
        <v>18168</v>
      </c>
      <c r="N410" s="19">
        <f>IF(2026-N$3&gt;IF($D410="",2026,$D410),IF(N$3=12,0.1*$G410,""),IF(2026-N$4&lt;$C410,"",N$4*$G410))</f>
        <v>21196.000000000004</v>
      </c>
      <c r="O410" s="19">
        <f>IF(2026-O$3&gt;IF($D410="",2026,$D410),IF(O$3=12,0.1*$G410,""),IF(2026-O$4&lt;$C410,"",O$4*$G410))</f>
        <v>25738.000000000004</v>
      </c>
      <c r="P410" s="19">
        <f>IF(2026-P$3&gt;IF($D410="",2026,$D410),IF(P$3=12,0.1*$G410,""),IF(2026-P$4&lt;$C410,"",P$4*$G410))</f>
        <v>29523</v>
      </c>
      <c r="Q410" s="19">
        <f>IF(2026-Q$3&gt;IF($D410="",2026,$D410),IF(Q$3=12,0.1*$G410,""),IF(2026-Q$4&lt;$C410,"",Q$4*$G410))</f>
        <v>35579</v>
      </c>
      <c r="R410" s="19">
        <f>IF(2026-R$3&gt;IF($D410="",2026,$D410),IF(R$3=12,0.1*$G410,""),IF(2026-R$4&lt;$C410,"",R$4*$G410))</f>
        <v>42392.000000000007</v>
      </c>
      <c r="S410" s="19">
        <f>IF(2026-S$3&gt;IF($D410="",2026,$D410),IF(S$3=12,0.1*$G410,""),IF(2026-S$4&lt;$C410,"",S$4*$G410))</f>
        <v>50719</v>
      </c>
      <c r="T410" s="19">
        <f>IF(2026-T$3&gt;IF($D410="",2026,$D410),IF(T$3=12,0.1*$G410,""),IF(2026-T$4&lt;$C410,"",T$4*$G410))</f>
        <v>63588</v>
      </c>
      <c r="U410" s="12"/>
    </row>
    <row r="411" spans="1:21" s="18" customFormat="1" ht="12" customHeight="1" x14ac:dyDescent="0.2">
      <c r="A411" s="17"/>
      <c r="B411" s="16" t="s">
        <v>48</v>
      </c>
      <c r="C411" s="13">
        <v>2021</v>
      </c>
      <c r="D411" s="13"/>
      <c r="E411" s="13"/>
      <c r="F411" s="13">
        <v>476</v>
      </c>
      <c r="G411" s="21">
        <v>84600</v>
      </c>
      <c r="H411" s="20"/>
      <c r="I411" s="19">
        <f>IF(2026-I$3&gt;IF($D411="",2026,$D411),IF(I$3=12,0.1*$G411,""),IF(2026-I$4&lt;$C411,"",I$4*$G411))</f>
        <v>8460</v>
      </c>
      <c r="J411" s="19">
        <f>IF(2026-J$3&gt;IF($D411="",2026,$D411),IF(J$3=12,0.1*$G411,""),IF(2026-J$4&lt;$C411,"",J$4*$G411))</f>
        <v>10998</v>
      </c>
      <c r="K411" s="19">
        <f>IF(2026-K$3&gt;IF($D411="",2026,$D411),IF(K$3=12,0.1*$G411,""),IF(2026-K$4&lt;$C411,"",K$4*$G411))</f>
        <v>14382.000000000002</v>
      </c>
      <c r="L411" s="19">
        <f>IF(2026-L$3&gt;IF($D411="",2026,$D411),IF(L$3=12,0.1*$G411,""),IF(2026-L$4&lt;$C411,"",L$4*$G411))</f>
        <v>16074</v>
      </c>
      <c r="M411" s="19">
        <f>IF(2026-M$3&gt;IF($D411="",2026,$D411),IF(M$3=12,0.1*$G411,""),IF(2026-M$4&lt;$C411,"",M$4*$G411))</f>
        <v>20304</v>
      </c>
      <c r="N411" s="19">
        <f>IF(2026-N$3&gt;IF($D411="",2026,$D411),IF(N$3=12,0.1*$G411,""),IF(2026-N$4&lt;$C411,"",N$4*$G411))</f>
        <v>23688.000000000004</v>
      </c>
      <c r="O411" s="19">
        <f>IF(2026-O$3&gt;IF($D411="",2026,$D411),IF(O$3=12,0.1*$G411,""),IF(2026-O$4&lt;$C411,"",O$4*$G411))</f>
        <v>28764.000000000004</v>
      </c>
      <c r="P411" s="19">
        <f>IF(2026-P$3&gt;IF($D411="",2026,$D411),IF(P$3=12,0.1*$G411,""),IF(2026-P$4&lt;$C411,"",P$4*$G411))</f>
        <v>32994</v>
      </c>
      <c r="Q411" s="19">
        <f>IF(2026-Q$3&gt;IF($D411="",2026,$D411),IF(Q$3=12,0.1*$G411,""),IF(2026-Q$4&lt;$C411,"",Q$4*$G411))</f>
        <v>39762</v>
      </c>
      <c r="R411" s="19">
        <f>IF(2026-R$3&gt;IF($D411="",2026,$D411),IF(R$3=12,0.1*$G411,""),IF(2026-R$4&lt;$C411,"",R$4*$G411))</f>
        <v>47376.000000000007</v>
      </c>
      <c r="S411" s="19">
        <f>IF(2026-S$3&gt;IF($D411="",2026,$D411),IF(S$3=12,0.1*$G411,""),IF(2026-S$4&lt;$C411,"",S$4*$G411))</f>
        <v>56682</v>
      </c>
      <c r="T411" s="19">
        <f>IF(2026-T$3&gt;IF($D411="",2026,$D411),IF(T$3=12,0.1*$G411,""),IF(2026-T$4&lt;$C411,"",T$4*$G411))</f>
        <v>71064</v>
      </c>
    </row>
    <row r="412" spans="1:21" s="18" customFormat="1" ht="12" customHeight="1" x14ac:dyDescent="0.2">
      <c r="A412" s="17"/>
      <c r="B412" s="16" t="s">
        <v>47</v>
      </c>
      <c r="C412" s="13">
        <v>2021</v>
      </c>
      <c r="D412" s="13"/>
      <c r="E412" s="13"/>
      <c r="F412" s="13">
        <v>571</v>
      </c>
      <c r="G412" s="21">
        <v>101000</v>
      </c>
      <c r="H412" s="20"/>
      <c r="I412" s="19">
        <f>IF(2026-I$3&gt;IF($D412="",2026,$D412),IF(I$3=12,0.1*$G412,""),IF(2026-I$4&lt;$C412,"",I$4*$G412))</f>
        <v>10100</v>
      </c>
      <c r="J412" s="19">
        <f>IF(2026-J$3&gt;IF($D412="",2026,$D412),IF(J$3=12,0.1*$G412,""),IF(2026-J$4&lt;$C412,"",J$4*$G412))</f>
        <v>13130</v>
      </c>
      <c r="K412" s="19">
        <f>IF(2026-K$3&gt;IF($D412="",2026,$D412),IF(K$3=12,0.1*$G412,""),IF(2026-K$4&lt;$C412,"",K$4*$G412))</f>
        <v>17170</v>
      </c>
      <c r="L412" s="19">
        <f>IF(2026-L$3&gt;IF($D412="",2026,$D412),IF(L$3=12,0.1*$G412,""),IF(2026-L$4&lt;$C412,"",L$4*$G412))</f>
        <v>19190</v>
      </c>
      <c r="M412" s="19">
        <f>IF(2026-M$3&gt;IF($D412="",2026,$D412),IF(M$3=12,0.1*$G412,""),IF(2026-M$4&lt;$C412,"",M$4*$G412))</f>
        <v>24240</v>
      </c>
      <c r="N412" s="19">
        <f>IF(2026-N$3&gt;IF($D412="",2026,$D412),IF(N$3=12,0.1*$G412,""),IF(2026-N$4&lt;$C412,"",N$4*$G412))</f>
        <v>28280.000000000004</v>
      </c>
      <c r="O412" s="19">
        <f>IF(2026-O$3&gt;IF($D412="",2026,$D412),IF(O$3=12,0.1*$G412,""),IF(2026-O$4&lt;$C412,"",O$4*$G412))</f>
        <v>34340</v>
      </c>
      <c r="P412" s="19">
        <f>IF(2026-P$3&gt;IF($D412="",2026,$D412),IF(P$3=12,0.1*$G412,""),IF(2026-P$4&lt;$C412,"",P$4*$G412))</f>
        <v>39390</v>
      </c>
      <c r="Q412" s="19">
        <f>IF(2026-Q$3&gt;IF($D412="",2026,$D412),IF(Q$3=12,0.1*$G412,""),IF(2026-Q$4&lt;$C412,"",Q$4*$G412))</f>
        <v>47470</v>
      </c>
      <c r="R412" s="19">
        <f>IF(2026-R$3&gt;IF($D412="",2026,$D412),IF(R$3=12,0.1*$G412,""),IF(2026-R$4&lt;$C412,"",R$4*$G412))</f>
        <v>56560.000000000007</v>
      </c>
      <c r="S412" s="19">
        <f>IF(2026-S$3&gt;IF($D412="",2026,$D412),IF(S$3=12,0.1*$G412,""),IF(2026-S$4&lt;$C412,"",S$4*$G412))</f>
        <v>67670</v>
      </c>
      <c r="T412" s="19">
        <f>IF(2026-T$3&gt;IF($D412="",2026,$D412),IF(T$3=12,0.1*$G412,""),IF(2026-T$4&lt;$C412,"",T$4*$G412))</f>
        <v>84840</v>
      </c>
    </row>
    <row r="413" spans="1:21" s="18" customFormat="1" ht="12" customHeight="1" x14ac:dyDescent="0.2">
      <c r="A413" s="17"/>
      <c r="B413" s="16" t="s">
        <v>46</v>
      </c>
      <c r="C413" s="13">
        <v>2021</v>
      </c>
      <c r="D413" s="13"/>
      <c r="E413" s="13"/>
      <c r="F413" s="13">
        <v>680</v>
      </c>
      <c r="G413" s="21">
        <v>139200</v>
      </c>
      <c r="H413" s="20"/>
      <c r="I413" s="19">
        <f>IF(2026-I$3&gt;IF($D413="",2026,$D413),IF(I$3=12,0.1*$G413,""),IF(2026-I$4&lt;$C413,"",I$4*$G413))</f>
        <v>13920</v>
      </c>
      <c r="J413" s="19">
        <f>IF(2026-J$3&gt;IF($D413="",2026,$D413),IF(J$3=12,0.1*$G413,""),IF(2026-J$4&lt;$C413,"",J$4*$G413))</f>
        <v>18096</v>
      </c>
      <c r="K413" s="19">
        <f>IF(2026-K$3&gt;IF($D413="",2026,$D413),IF(K$3=12,0.1*$G413,""),IF(2026-K$4&lt;$C413,"",K$4*$G413))</f>
        <v>23664</v>
      </c>
      <c r="L413" s="19">
        <f>IF(2026-L$3&gt;IF($D413="",2026,$D413),IF(L$3=12,0.1*$G413,""),IF(2026-L$4&lt;$C413,"",L$4*$G413))</f>
        <v>26448</v>
      </c>
      <c r="M413" s="19">
        <f>IF(2026-M$3&gt;IF($D413="",2026,$D413),IF(M$3=12,0.1*$G413,""),IF(2026-M$4&lt;$C413,"",M$4*$G413))</f>
        <v>33408</v>
      </c>
      <c r="N413" s="19">
        <f>IF(2026-N$3&gt;IF($D413="",2026,$D413),IF(N$3=12,0.1*$G413,""),IF(2026-N$4&lt;$C413,"",N$4*$G413))</f>
        <v>38976.000000000007</v>
      </c>
      <c r="O413" s="19">
        <f>IF(2026-O$3&gt;IF($D413="",2026,$D413),IF(O$3=12,0.1*$G413,""),IF(2026-O$4&lt;$C413,"",O$4*$G413))</f>
        <v>47328</v>
      </c>
      <c r="P413" s="19">
        <f>IF(2026-P$3&gt;IF($D413="",2026,$D413),IF(P$3=12,0.1*$G413,""),IF(2026-P$4&lt;$C413,"",P$4*$G413))</f>
        <v>54288</v>
      </c>
      <c r="Q413" s="19">
        <f>IF(2026-Q$3&gt;IF($D413="",2026,$D413),IF(Q$3=12,0.1*$G413,""),IF(2026-Q$4&lt;$C413,"",Q$4*$G413))</f>
        <v>65423.999999999993</v>
      </c>
      <c r="R413" s="19">
        <f>IF(2026-R$3&gt;IF($D413="",2026,$D413),IF(R$3=12,0.1*$G413,""),IF(2026-R$4&lt;$C413,"",R$4*$G413))</f>
        <v>77952.000000000015</v>
      </c>
      <c r="S413" s="19">
        <f>IF(2026-S$3&gt;IF($D413="",2026,$D413),IF(S$3=12,0.1*$G413,""),IF(2026-S$4&lt;$C413,"",S$4*$G413))</f>
        <v>93264</v>
      </c>
      <c r="T413" s="19">
        <f>IF(2026-T$3&gt;IF($D413="",2026,$D413),IF(T$3=12,0.1*$G413,""),IF(2026-T$4&lt;$C413,"",T$4*$G413))</f>
        <v>116928</v>
      </c>
    </row>
    <row r="414" spans="1:21" s="18" customFormat="1" ht="12" customHeight="1" x14ac:dyDescent="0.2">
      <c r="A414" s="17"/>
      <c r="B414" s="16" t="s">
        <v>45</v>
      </c>
      <c r="C414" s="13">
        <v>2021</v>
      </c>
      <c r="D414" s="13"/>
      <c r="E414" s="13"/>
      <c r="F414" s="13">
        <v>761</v>
      </c>
      <c r="G414" s="21">
        <v>169100</v>
      </c>
      <c r="H414" s="20"/>
      <c r="I414" s="19">
        <f>IF(2026-I$3&gt;IF($D414="",2026,$D414),IF(I$3=12,0.1*$G414,""),IF(2026-I$4&lt;$C414,"",I$4*$G414))</f>
        <v>16910</v>
      </c>
      <c r="J414" s="19">
        <f>IF(2026-J$3&gt;IF($D414="",2026,$D414),IF(J$3=12,0.1*$G414,""),IF(2026-J$4&lt;$C414,"",J$4*$G414))</f>
        <v>21983</v>
      </c>
      <c r="K414" s="19">
        <f>IF(2026-K$3&gt;IF($D414="",2026,$D414),IF(K$3=12,0.1*$G414,""),IF(2026-K$4&lt;$C414,"",K$4*$G414))</f>
        <v>28747.000000000004</v>
      </c>
      <c r="L414" s="19">
        <f>IF(2026-L$3&gt;IF($D414="",2026,$D414),IF(L$3=12,0.1*$G414,""),IF(2026-L$4&lt;$C414,"",L$4*$G414))</f>
        <v>32129</v>
      </c>
      <c r="M414" s="19">
        <f>IF(2026-M$3&gt;IF($D414="",2026,$D414),IF(M$3=12,0.1*$G414,""),IF(2026-M$4&lt;$C414,"",M$4*$G414))</f>
        <v>40584</v>
      </c>
      <c r="N414" s="19">
        <f>IF(2026-N$3&gt;IF($D414="",2026,$D414),IF(N$3=12,0.1*$G414,""),IF(2026-N$4&lt;$C414,"",N$4*$G414))</f>
        <v>47348.000000000007</v>
      </c>
      <c r="O414" s="19">
        <f>IF(2026-O$3&gt;IF($D414="",2026,$D414),IF(O$3=12,0.1*$G414,""),IF(2026-O$4&lt;$C414,"",O$4*$G414))</f>
        <v>57494.000000000007</v>
      </c>
      <c r="P414" s="19">
        <f>IF(2026-P$3&gt;IF($D414="",2026,$D414),IF(P$3=12,0.1*$G414,""),IF(2026-P$4&lt;$C414,"",P$4*$G414))</f>
        <v>65949</v>
      </c>
      <c r="Q414" s="19">
        <f>IF(2026-Q$3&gt;IF($D414="",2026,$D414),IF(Q$3=12,0.1*$G414,""),IF(2026-Q$4&lt;$C414,"",Q$4*$G414))</f>
        <v>79477</v>
      </c>
      <c r="R414" s="19">
        <f>IF(2026-R$3&gt;IF($D414="",2026,$D414),IF(R$3=12,0.1*$G414,""),IF(2026-R$4&lt;$C414,"",R$4*$G414))</f>
        <v>94696.000000000015</v>
      </c>
      <c r="S414" s="19">
        <f>IF(2026-S$3&gt;IF($D414="",2026,$D414),IF(S$3=12,0.1*$G414,""),IF(2026-S$4&lt;$C414,"",S$4*$G414))</f>
        <v>113297</v>
      </c>
      <c r="T414" s="19">
        <f>IF(2026-T$3&gt;IF($D414="",2026,$D414),IF(T$3=12,0.1*$G414,""),IF(2026-T$4&lt;$C414,"",T$4*$G414))</f>
        <v>142044</v>
      </c>
    </row>
    <row r="415" spans="1:21" s="18" customFormat="1" ht="12" customHeight="1" x14ac:dyDescent="0.2">
      <c r="A415" s="17"/>
    </row>
    <row r="416" spans="1:21" ht="12" customHeight="1" x14ac:dyDescent="0.2">
      <c r="B416" s="18"/>
      <c r="C416" s="18"/>
      <c r="D416" s="18"/>
      <c r="E416" s="18"/>
      <c r="F416" s="18"/>
      <c r="G416" s="18"/>
      <c r="I416" s="18"/>
      <c r="J416" s="18"/>
      <c r="K416" s="18"/>
      <c r="L416" s="18"/>
      <c r="M416" s="18"/>
      <c r="N416" s="18"/>
      <c r="P416" s="18"/>
      <c r="Q416" s="18"/>
      <c r="R416" s="18"/>
      <c r="S416" s="18"/>
      <c r="T416" s="18"/>
      <c r="U416" s="18"/>
    </row>
    <row r="417" spans="2:21" ht="12" customHeight="1" x14ac:dyDescent="0.2">
      <c r="B417" s="18"/>
      <c r="C417" s="18"/>
      <c r="D417" s="18"/>
      <c r="E417" s="18"/>
      <c r="F417" s="18"/>
      <c r="G417" s="18"/>
      <c r="I417" s="18"/>
      <c r="J417" s="18"/>
      <c r="K417" s="18"/>
      <c r="L417" s="18"/>
      <c r="M417" s="18"/>
      <c r="N417" s="18"/>
      <c r="P417" s="18"/>
      <c r="Q417" s="18"/>
      <c r="R417" s="18"/>
      <c r="S417" s="18"/>
      <c r="T417" s="18"/>
      <c r="U417" s="18"/>
    </row>
    <row r="418" spans="2:21" ht="12" customHeight="1" x14ac:dyDescent="0.2">
      <c r="B418" s="18"/>
      <c r="C418" s="18"/>
      <c r="D418" s="18"/>
      <c r="E418" s="18"/>
      <c r="F418" s="18"/>
      <c r="G418" s="18"/>
      <c r="I418" s="18"/>
      <c r="J418" s="18"/>
      <c r="K418" s="18"/>
      <c r="L418" s="18"/>
      <c r="M418" s="18"/>
      <c r="N418" s="18"/>
      <c r="P418" s="18"/>
      <c r="Q418" s="18"/>
      <c r="R418" s="18"/>
      <c r="S418" s="18"/>
      <c r="T418" s="18"/>
      <c r="U418" s="18"/>
    </row>
    <row r="419" spans="2:21" ht="12" customHeight="1" x14ac:dyDescent="0.2">
      <c r="B419" s="18"/>
      <c r="C419" s="18"/>
      <c r="D419" s="18"/>
      <c r="E419" s="18"/>
      <c r="F419" s="18"/>
      <c r="G419" s="18"/>
      <c r="I419" s="18"/>
      <c r="J419" s="18"/>
      <c r="K419" s="18"/>
      <c r="L419" s="18"/>
      <c r="M419" s="18"/>
      <c r="N419" s="18"/>
      <c r="P419" s="18"/>
      <c r="Q419" s="18"/>
      <c r="R419" s="18"/>
      <c r="S419" s="18"/>
      <c r="T419" s="18"/>
      <c r="U419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1088-C082-3D4A-8D87-E9932E17B3B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MODELO_CLIENTE</vt:lpstr>
      <vt:lpstr>ordenada vertical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Cámara Lara</dc:creator>
  <cp:keywords/>
  <dc:description/>
  <cp:lastModifiedBy>Jose Maria Garcia del Monte</cp:lastModifiedBy>
  <cp:revision/>
  <dcterms:created xsi:type="dcterms:W3CDTF">2024-11-12T14:58:13Z</dcterms:created>
  <dcterms:modified xsi:type="dcterms:W3CDTF">2025-12-26T21:58:34Z</dcterms:modified>
  <cp:category/>
  <cp:contentStatus/>
</cp:coreProperties>
</file>